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8340"/>
  </bookViews>
  <sheets>
    <sheet name="Calendario" sheetId="1" r:id="rId1"/>
    <sheet name="Diario" sheetId="3" r:id="rId2"/>
    <sheet name="Configuración Categorías" sheetId="5" r:id="rId3"/>
  </sheets>
  <functionGroups builtInGroupCount="17"/>
  <externalReferences>
    <externalReference r:id="rId4"/>
    <externalReference r:id="rId5"/>
  </externalReferences>
  <definedNames>
    <definedName name="Calendario">Calendario!$B$6:$H$11,Calendario!$J$6:$P$11,Calendario!$R$6:$X$10,Calendario!$B$15:$H$20,Calendario!$J$15:$P$20,Calendario!$R$15:$X$20,Calendario!$B$26:$H$31,Calendario!$J$26:$P$31,Calendario!$R$26:$X$31,Calendario!$B$35:$H$40,Calendario!$J$35:$P$39,Calendario!$R$35:$X$40</definedName>
    <definedName name="Categorias">'Configuración Categorías'!$B$3:$B$9</definedName>
    <definedName name="Categorias_Comentarios">Diario!$B$2:$B$367</definedName>
    <definedName name="DiasCategorias">Diario!$F$2:$F$366</definedName>
    <definedName name="Estado">Diario!$B$2:$B$366</definedName>
    <definedName name="Fecha_Inicio">Calendario!$B$2</definedName>
    <definedName name="FechaInicio">[1]Completo!$B$1</definedName>
    <definedName name="Grilla_Anual_Dias">#REF!</definedName>
    <definedName name="Id_Categorias">'Configuración Categorías'!$A$3:$A$9</definedName>
    <definedName name="Indice_Categorias">Diario!$C$2:$C$366</definedName>
    <definedName name="m1_">[2]Mini!$C$6:$AR$6</definedName>
    <definedName name="m2_">[2]Mini!$C$7:$AR$7</definedName>
    <definedName name="Rango_Diario">Diario!$A$2:$A$366</definedName>
    <definedName name="RangoCompleto">[1]Completo!$B$5:$H$10,[1]Completo!$J$5:$P$10,[1]Completo!$R$5:$X$10,[1]Completo!$B$14:$H$19,[1]Completo!$J$14:$P$19,[1]Completo!$R$14:$X$19,[1]Completo!$B$24:$H$29,[1]Completo!$J$24:$P$29,[1]Completo!$R$24:$X$29,[1]Completo!$B$33:$H$38,[1]Completo!$J$33:$P$38,[1]Completo!$R$33:$X$38</definedName>
    <definedName name="RangoMensual">#REF!,#REF!,#REF!,#REF!,#REF!,#REF!,#REF!,#REF!,#REF!,#REF!,#REF!,#REF!</definedName>
    <definedName name="RangoSemanal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/>
  <c r="C3" i="3"/>
  <c r="C4" i="3"/>
  <c r="C5" i="3"/>
  <c r="C6" i="3"/>
  <c r="C7" i="3"/>
  <c r="C8" i="3"/>
  <c r="C9" i="3"/>
  <c r="XEX2" i="3"/>
  <c r="XEX3" i="3"/>
  <c r="XEX4" i="3"/>
  <c r="XEX5" i="3"/>
  <c r="XEX6" i="3"/>
  <c r="XEX7" i="3"/>
  <c r="XEX8" i="3"/>
  <c r="XEX9" i="3"/>
  <c r="XEX10" i="3"/>
  <c r="XEX11" i="3"/>
  <c r="XEX12" i="3"/>
</calcChain>
</file>

<file path=xl/sharedStrings.xml><?xml version="1.0" encoding="utf-8"?>
<sst xmlns="http://schemas.openxmlformats.org/spreadsheetml/2006/main" count="349" uniqueCount="22">
  <si>
    <t>Do</t>
  </si>
  <si>
    <t>Lu</t>
  </si>
  <si>
    <t>Ma</t>
  </si>
  <si>
    <t>Mi</t>
  </si>
  <si>
    <t>Ju</t>
  </si>
  <si>
    <t>Vi</t>
  </si>
  <si>
    <t>Sa</t>
  </si>
  <si>
    <t>Fecha</t>
  </si>
  <si>
    <t>Categoría</t>
  </si>
  <si>
    <t>Abrir Ventas</t>
  </si>
  <si>
    <t>Black Out</t>
  </si>
  <si>
    <t>ID</t>
  </si>
  <si>
    <t>Relleno</t>
  </si>
  <si>
    <t>Fuente</t>
  </si>
  <si>
    <t>Cierre de Ventas con Cupo Base cerrado</t>
  </si>
  <si>
    <t>Cierre Parcial de Free Sales y Ventas B2B</t>
  </si>
  <si>
    <t>Cierre Pegasus + Corporativos (Solo BAR)</t>
  </si>
  <si>
    <t>Cierre Total de Free Sales y Ventas B2B</t>
  </si>
  <si>
    <t>Sin Cierre</t>
  </si>
  <si>
    <t>Indice</t>
  </si>
  <si>
    <t>Cierre Parcial de Free Sales Operadores y B2B</t>
  </si>
  <si>
    <t>Cierre Total de Free Sales Operadores y B2B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</si>
</sst>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mmmm"/>
    <numFmt numFmtId="166" formatCode="d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1"/>
      <color indexed="63"/>
      <name val="Calibri"/>
      <family val="2"/>
      <scheme val="minor"/>
    </font>
    <font>
      <sz val="8"/>
      <color indexed="22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22"/>
      <name val="Calibri"/>
      <family val="2"/>
      <scheme val="minor"/>
    </font>
    <font>
      <b/>
      <sz val="1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A4147E"/>
        <bgColor indexed="64"/>
      </patternFill>
    </fill>
    <fill>
      <patternFill patternType="solid">
        <fgColor theme="4" tint="-0.49998474074526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/>
    </xf>
    <xf numFmtId="0" fontId="0" fillId="0" borderId="7" xfId="0" applyBorder="1" applyAlignment="1"/>
    <xf numFmtId="0" fontId="0" fillId="0" borderId="8" xfId="0" applyBorder="1" applyAlignment="1"/>
    <xf numFmtId="0" fontId="0" fillId="2" borderId="8" xfId="0" applyFill="1" applyBorder="1"/>
    <xf numFmtId="0" fontId="10" fillId="3" borderId="0" xfId="0" applyFont="1" applyFill="1" applyAlignment="1">
      <alignment horizontal="center" vertical="center"/>
    </xf>
    <xf numFmtId="166" fontId="12" fillId="2" borderId="0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0" fillId="7" borderId="6" xfId="0" applyFill="1" applyBorder="1" applyAlignment="1">
      <alignment vertical="center"/>
    </xf>
    <xf numFmtId="0" fontId="0" fillId="12" borderId="6" xfId="0" applyFill="1" applyBorder="1" applyAlignment="1">
      <alignment vertical="center"/>
    </xf>
    <xf numFmtId="0" fontId="0" fillId="11" borderId="6" xfId="0" applyFill="1" applyBorder="1" applyAlignment="1">
      <alignment vertical="center"/>
    </xf>
    <xf numFmtId="0" fontId="9" fillId="9" borderId="6" xfId="0" applyFont="1" applyFill="1" applyBorder="1" applyAlignment="1">
      <alignment vertical="center"/>
    </xf>
    <xf numFmtId="0" fontId="0" fillId="10" borderId="6" xfId="0" applyFill="1" applyBorder="1" applyAlignment="1">
      <alignment vertical="center"/>
    </xf>
    <xf numFmtId="0" fontId="0" fillId="13" borderId="6" xfId="0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7" fillId="6" borderId="0" xfId="0" applyFont="1" applyFill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6" borderId="0" xfId="0" applyFont="1" applyFill="1" applyAlignment="1" applyProtection="1">
      <alignment horizontal="center" vertical="center"/>
      <protection locked="0"/>
    </xf>
    <xf numFmtId="166" fontId="12" fillId="2" borderId="15" xfId="0" applyNumberFormat="1" applyFont="1" applyFill="1" applyBorder="1" applyAlignment="1" applyProtection="1">
      <alignment horizontal="center" vertical="center"/>
      <protection locked="0"/>
    </xf>
    <xf numFmtId="166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>
      <alignment horizontal="center" vertical="center"/>
    </xf>
    <xf numFmtId="166" fontId="12" fillId="2" borderId="17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>
      <alignment vertical="center"/>
    </xf>
    <xf numFmtId="0" fontId="0" fillId="0" borderId="10" xfId="0" applyBorder="1" applyAlignment="1" applyProtection="1">
      <protection locked="0"/>
    </xf>
    <xf numFmtId="0" fontId="0" fillId="12" borderId="10" xfId="0" applyFill="1" applyBorder="1" applyAlignment="1"/>
    <xf numFmtId="0" fontId="0" fillId="13" borderId="10" xfId="0" applyFill="1" applyBorder="1" applyAlignment="1"/>
    <xf numFmtId="0" fontId="0" fillId="11" borderId="10" xfId="0" applyFill="1" applyBorder="1" applyAlignment="1"/>
    <xf numFmtId="0" fontId="0" fillId="10" borderId="10" xfId="0" applyFill="1" applyBorder="1" applyAlignment="1"/>
    <xf numFmtId="0" fontId="9" fillId="9" borderId="10" xfId="0" applyFont="1" applyFill="1" applyBorder="1" applyAlignment="1"/>
    <xf numFmtId="0" fontId="0" fillId="2" borderId="10" xfId="0" applyFill="1" applyBorder="1" applyProtection="1">
      <protection locked="0"/>
    </xf>
    <xf numFmtId="0" fontId="9" fillId="2" borderId="10" xfId="0" applyFont="1" applyFill="1" applyBorder="1"/>
    <xf numFmtId="0" fontId="0" fillId="0" borderId="18" xfId="0" applyBorder="1" applyAlignment="1" applyProtection="1">
      <protection locked="0"/>
    </xf>
    <xf numFmtId="0" fontId="0" fillId="7" borderId="18" xfId="0" applyFill="1" applyBorder="1" applyAlignment="1"/>
    <xf numFmtId="0" fontId="15" fillId="6" borderId="13" xfId="0" applyFont="1" applyFill="1" applyBorder="1" applyAlignment="1">
      <alignment horizontal="center"/>
    </xf>
    <xf numFmtId="0" fontId="15" fillId="6" borderId="14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166" fontId="12" fillId="2" borderId="19" xfId="0" applyNumberFormat="1" applyFont="1" applyFill="1" applyBorder="1" applyAlignment="1" applyProtection="1">
      <alignment horizontal="center" vertical="center"/>
      <protection locked="0"/>
    </xf>
    <xf numFmtId="166" fontId="12" fillId="2" borderId="27" xfId="0" applyNumberFormat="1" applyFont="1" applyFill="1" applyBorder="1" applyAlignment="1" applyProtection="1">
      <alignment horizontal="center" vertical="center"/>
      <protection locked="0"/>
    </xf>
    <xf numFmtId="166" fontId="6" fillId="5" borderId="21" xfId="0" applyNumberFormat="1" applyFont="1" applyFill="1" applyBorder="1" applyAlignment="1">
      <alignment horizontal="center" vertical="center"/>
    </xf>
    <xf numFmtId="166" fontId="6" fillId="5" borderId="20" xfId="0" applyNumberFormat="1" applyFont="1" applyFill="1" applyBorder="1" applyAlignment="1">
      <alignment horizontal="center" vertical="center"/>
    </xf>
    <xf numFmtId="166" fontId="6" fillId="5" borderId="23" xfId="0" applyNumberFormat="1" applyFont="1" applyFill="1" applyBorder="1" applyAlignment="1">
      <alignment horizontal="center" vertical="center"/>
    </xf>
    <xf numFmtId="166" fontId="6" fillId="5" borderId="24" xfId="0" applyNumberFormat="1" applyFont="1" applyFill="1" applyBorder="1" applyAlignment="1">
      <alignment horizontal="center" vertical="center"/>
    </xf>
    <xf numFmtId="166" fontId="6" fillId="5" borderId="25" xfId="0" applyNumberFormat="1" applyFont="1" applyFill="1" applyBorder="1" applyAlignment="1">
      <alignment horizontal="center" vertical="center"/>
    </xf>
    <xf numFmtId="166" fontId="6" fillId="5" borderId="22" xfId="0" applyNumberFormat="1" applyFont="1" applyFill="1" applyBorder="1" applyAlignment="1">
      <alignment horizontal="center" vertical="center"/>
    </xf>
    <xf numFmtId="166" fontId="6" fillId="5" borderId="26" xfId="0" applyNumberFormat="1" applyFont="1" applyFill="1" applyBorder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66" fontId="17" fillId="5" borderId="10" xfId="0" applyNumberFormat="1" applyFont="1" applyFill="1" applyBorder="1" applyAlignment="1">
      <alignment horizontal="center" vertical="center"/>
    </xf>
    <xf numFmtId="166" fontId="11" fillId="5" borderId="10" xfId="0" applyNumberFormat="1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167" fontId="0" fillId="0" borderId="4" xfId="0" applyNumberFormat="1" applyFont="1" applyFill="1" applyBorder="1" applyAlignment="1">
      <alignment vertical="center"/>
    </xf>
    <xf numFmtId="164" fontId="16" fillId="14" borderId="1" xfId="0" applyNumberFormat="1" applyFont="1" applyFill="1" applyBorder="1" applyAlignment="1" applyProtection="1">
      <alignment horizontal="center" vertical="center"/>
      <protection locked="0"/>
    </xf>
    <xf numFmtId="164" fontId="16" fillId="14" borderId="2" xfId="0" applyNumberFormat="1" applyFont="1" applyFill="1" applyBorder="1" applyAlignment="1" applyProtection="1">
      <alignment horizontal="center" vertical="center"/>
      <protection locked="0"/>
    </xf>
    <xf numFmtId="164" fontId="16" fillId="14" borderId="3" xfId="0" applyNumberFormat="1" applyFont="1" applyFill="1" applyBorder="1" applyAlignment="1" applyProtection="1">
      <alignment horizontal="center" vertical="center"/>
      <protection locked="0"/>
    </xf>
    <xf numFmtId="165" fontId="4" fillId="4" borderId="11" xfId="0" applyNumberFormat="1" applyFont="1" applyFill="1" applyBorder="1" applyAlignment="1">
      <alignment horizontal="center" vertical="center"/>
    </xf>
    <xf numFmtId="165" fontId="4" fillId="4" borderId="9" xfId="0" applyNumberFormat="1" applyFont="1" applyFill="1" applyBorder="1" applyAlignment="1">
      <alignment horizontal="center" vertical="center"/>
    </xf>
    <xf numFmtId="165" fontId="4" fillId="4" borderId="12" xfId="0" applyNumberFormat="1" applyFont="1" applyFill="1" applyBorder="1" applyAlignment="1">
      <alignment horizontal="center" vertical="center"/>
    </xf>
    <xf numFmtId="165" fontId="4" fillId="4" borderId="13" xfId="0" applyNumberFormat="1" applyFont="1" applyFill="1" applyBorder="1" applyAlignment="1">
      <alignment horizontal="center" vertical="center"/>
    </xf>
    <xf numFmtId="165" fontId="4" fillId="4" borderId="28" xfId="0" applyNumberFormat="1" applyFont="1" applyFill="1" applyBorder="1" applyAlignment="1">
      <alignment horizontal="center" vertical="center"/>
    </xf>
    <xf numFmtId="165" fontId="4" fillId="4" borderId="1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85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font>
        <color rgb="FFFFFFFF"/>
      </font>
      <fill>
        <patternFill>
          <bgColor rgb="FF8F197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FFFFFF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ont>
        <color rgb="FFFFFFFF"/>
      </font>
      <fill>
        <patternFill>
          <bgColor rgb="FF3F51B5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A4147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3F51B5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A4147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3F51B5"/>
        </patternFill>
      </fill>
    </dxf>
    <dxf>
      <font>
        <color rgb="FFFFFFFF"/>
      </font>
      <fill>
        <patternFill>
          <bgColor rgb="FF595959"/>
        </patternFill>
      </fill>
    </dxf>
    <dxf>
      <font>
        <color rgb="FFFFFFFF"/>
      </font>
      <fill>
        <patternFill>
          <bgColor rgb="FFAA0061"/>
        </patternFill>
      </fill>
    </dxf>
    <dxf>
      <font>
        <color rgb="FFFFFFFF"/>
      </font>
      <fill>
        <patternFill>
          <bgColor rgb="FF795549"/>
        </patternFill>
      </fill>
    </dxf>
    <dxf>
      <font>
        <color rgb="FFFFFFFF"/>
      </font>
      <fill>
        <patternFill>
          <bgColor rgb="FFFE5722"/>
        </patternFill>
      </fill>
    </dxf>
    <dxf>
      <font>
        <color rgb="FFFFFFFF"/>
      </font>
      <fill>
        <patternFill>
          <bgColor rgb="FFFF9700"/>
        </patternFill>
      </fill>
    </dxf>
    <dxf>
      <font>
        <color rgb="FFFFFFFF"/>
      </font>
      <fill>
        <patternFill>
          <bgColor rgb="FFF1B801"/>
        </patternFill>
      </fill>
    </dxf>
    <dxf>
      <font>
        <color rgb="FFFFFFFF"/>
      </font>
      <fill>
        <patternFill>
          <bgColor rgb="FF8BC24A"/>
        </patternFill>
      </fill>
    </dxf>
    <dxf>
      <font>
        <color rgb="FFFFFFFF"/>
      </font>
      <fill>
        <patternFill>
          <bgColor rgb="FF4CAF52"/>
        </patternFill>
      </fill>
    </dxf>
    <dxf>
      <font>
        <color rgb="FFFFFFFF"/>
      </font>
      <fill>
        <patternFill>
          <bgColor rgb="FF009788"/>
        </patternFill>
      </fill>
    </dxf>
    <dxf>
      <font>
        <color rgb="FFFFFFFF"/>
      </font>
      <fill>
        <patternFill>
          <bgColor rgb="FF00BCD5"/>
        </patternFill>
      </fill>
    </dxf>
    <dxf>
      <font>
        <color rgb="FFFFFFFF"/>
      </font>
      <fill>
        <patternFill>
          <bgColor rgb="FF2196F3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A4147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66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6600"/>
      <color rgb="FFA4147E"/>
      <color rgb="FF8F19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</xdr:row>
          <xdr:rowOff>76200</xdr:rowOff>
        </xdr:from>
        <xdr:to>
          <xdr:col>27</xdr:col>
          <xdr:colOff>819150</xdr:colOff>
          <xdr:row>1</xdr:row>
          <xdr:rowOff>381000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rgeGabriel/Downloads/Cierres%20de%20Free%20Sales%20-%20RECOLETA%2012.04.18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ises/Documents/HDD/Professional/_Companies/_ExcelTotal/Productos/LeadMagnets/Calendario/Calendario%20Template%20Chandoo%20-%20domingo%20a%20sab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o"/>
      <sheetName val="Mini"/>
      <sheetName val="Diario"/>
      <sheetName val="Configuracion"/>
      <sheetName val="Completo 2019"/>
      <sheetName val="Mini 2019"/>
    </sheetNames>
    <sheetDataSet>
      <sheetData sheetId="0">
        <row r="1">
          <cell r="B1">
            <v>43101</v>
          </cell>
        </row>
        <row r="5">
          <cell r="C5">
            <v>43101</v>
          </cell>
          <cell r="D5">
            <v>43102</v>
          </cell>
          <cell r="E5">
            <v>43103</v>
          </cell>
          <cell r="F5">
            <v>43104</v>
          </cell>
          <cell r="G5">
            <v>43105</v>
          </cell>
          <cell r="H5">
            <v>43106</v>
          </cell>
          <cell r="N5">
            <v>43132</v>
          </cell>
          <cell r="O5">
            <v>43133</v>
          </cell>
          <cell r="P5">
            <v>43134</v>
          </cell>
          <cell r="V5">
            <v>43160</v>
          </cell>
          <cell r="W5">
            <v>43161</v>
          </cell>
          <cell r="X5">
            <v>43162</v>
          </cell>
        </row>
        <row r="6">
          <cell r="B6">
            <v>43107</v>
          </cell>
          <cell r="C6">
            <v>43108</v>
          </cell>
          <cell r="D6">
            <v>43109</v>
          </cell>
          <cell r="E6">
            <v>43110</v>
          </cell>
          <cell r="F6">
            <v>43111</v>
          </cell>
          <cell r="G6">
            <v>43112</v>
          </cell>
          <cell r="H6">
            <v>43113</v>
          </cell>
          <cell r="J6">
            <v>43135</v>
          </cell>
          <cell r="K6">
            <v>43136</v>
          </cell>
          <cell r="L6">
            <v>43137</v>
          </cell>
          <cell r="M6">
            <v>43138</v>
          </cell>
          <cell r="N6">
            <v>43139</v>
          </cell>
          <cell r="O6">
            <v>43140</v>
          </cell>
          <cell r="P6">
            <v>43141</v>
          </cell>
          <cell r="R6">
            <v>43163</v>
          </cell>
          <cell r="S6">
            <v>43164</v>
          </cell>
          <cell r="T6">
            <v>43165</v>
          </cell>
          <cell r="U6">
            <v>43166</v>
          </cell>
          <cell r="V6">
            <v>43167</v>
          </cell>
          <cell r="W6">
            <v>43168</v>
          </cell>
          <cell r="X6">
            <v>43169</v>
          </cell>
        </row>
        <row r="7">
          <cell r="B7">
            <v>43114</v>
          </cell>
          <cell r="C7">
            <v>43115</v>
          </cell>
          <cell r="D7">
            <v>43116</v>
          </cell>
          <cell r="E7">
            <v>43117</v>
          </cell>
          <cell r="F7">
            <v>43118</v>
          </cell>
          <cell r="G7">
            <v>43119</v>
          </cell>
          <cell r="H7">
            <v>43120</v>
          </cell>
          <cell r="J7">
            <v>43142</v>
          </cell>
          <cell r="K7">
            <v>43143</v>
          </cell>
          <cell r="L7">
            <v>43144</v>
          </cell>
          <cell r="M7">
            <v>43145</v>
          </cell>
          <cell r="N7">
            <v>43146</v>
          </cell>
          <cell r="O7">
            <v>43147</v>
          </cell>
          <cell r="P7">
            <v>43148</v>
          </cell>
          <cell r="R7">
            <v>43170</v>
          </cell>
          <cell r="S7">
            <v>43171</v>
          </cell>
          <cell r="T7">
            <v>43172</v>
          </cell>
          <cell r="U7">
            <v>43173</v>
          </cell>
          <cell r="V7">
            <v>43174</v>
          </cell>
          <cell r="W7">
            <v>43175</v>
          </cell>
          <cell r="X7">
            <v>43176</v>
          </cell>
        </row>
        <row r="8">
          <cell r="B8">
            <v>43121</v>
          </cell>
          <cell r="C8">
            <v>43122</v>
          </cell>
          <cell r="D8">
            <v>43123</v>
          </cell>
          <cell r="E8">
            <v>43124</v>
          </cell>
          <cell r="F8">
            <v>43125</v>
          </cell>
          <cell r="G8">
            <v>43126</v>
          </cell>
          <cell r="H8">
            <v>43127</v>
          </cell>
          <cell r="J8">
            <v>43149</v>
          </cell>
          <cell r="K8">
            <v>43150</v>
          </cell>
          <cell r="L8">
            <v>43151</v>
          </cell>
          <cell r="M8">
            <v>43152</v>
          </cell>
          <cell r="N8">
            <v>43153</v>
          </cell>
          <cell r="O8">
            <v>43154</v>
          </cell>
          <cell r="P8">
            <v>43155</v>
          </cell>
          <cell r="R8">
            <v>43177</v>
          </cell>
          <cell r="S8">
            <v>43178</v>
          </cell>
          <cell r="T8">
            <v>43179</v>
          </cell>
          <cell r="U8">
            <v>43180</v>
          </cell>
          <cell r="V8">
            <v>43181</v>
          </cell>
          <cell r="W8">
            <v>43182</v>
          </cell>
          <cell r="X8">
            <v>43183</v>
          </cell>
        </row>
        <row r="9">
          <cell r="B9">
            <v>43128</v>
          </cell>
          <cell r="C9">
            <v>43129</v>
          </cell>
          <cell r="D9">
            <v>43130</v>
          </cell>
          <cell r="E9">
            <v>43131</v>
          </cell>
          <cell r="J9">
            <v>43156</v>
          </cell>
          <cell r="K9">
            <v>43157</v>
          </cell>
          <cell r="L9">
            <v>43158</v>
          </cell>
          <cell r="M9">
            <v>43159</v>
          </cell>
          <cell r="R9">
            <v>43184</v>
          </cell>
          <cell r="S9">
            <v>43185</v>
          </cell>
          <cell r="T9">
            <v>43186</v>
          </cell>
          <cell r="U9">
            <v>43187</v>
          </cell>
          <cell r="V9">
            <v>43188</v>
          </cell>
          <cell r="W9">
            <v>43189</v>
          </cell>
          <cell r="X9">
            <v>43190</v>
          </cell>
        </row>
        <row r="14">
          <cell r="B14">
            <v>43191</v>
          </cell>
          <cell r="C14">
            <v>43192</v>
          </cell>
          <cell r="D14">
            <v>43193</v>
          </cell>
          <cell r="E14">
            <v>43194</v>
          </cell>
          <cell r="F14">
            <v>43195</v>
          </cell>
          <cell r="G14">
            <v>43196</v>
          </cell>
          <cell r="H14">
            <v>43197</v>
          </cell>
          <cell r="L14">
            <v>43221</v>
          </cell>
          <cell r="M14">
            <v>43222</v>
          </cell>
          <cell r="N14">
            <v>43223</v>
          </cell>
          <cell r="O14">
            <v>43224</v>
          </cell>
          <cell r="P14">
            <v>43225</v>
          </cell>
          <cell r="W14">
            <v>43252</v>
          </cell>
          <cell r="X14">
            <v>43253</v>
          </cell>
        </row>
        <row r="15">
          <cell r="B15">
            <v>43198</v>
          </cell>
          <cell r="C15">
            <v>43199</v>
          </cell>
          <cell r="D15">
            <v>43200</v>
          </cell>
          <cell r="E15">
            <v>43201</v>
          </cell>
          <cell r="F15">
            <v>43202</v>
          </cell>
          <cell r="G15">
            <v>43203</v>
          </cell>
          <cell r="H15">
            <v>43204</v>
          </cell>
          <cell r="J15">
            <v>43226</v>
          </cell>
          <cell r="K15">
            <v>43227</v>
          </cell>
          <cell r="L15">
            <v>43228</v>
          </cell>
          <cell r="M15">
            <v>43229</v>
          </cell>
          <cell r="N15">
            <v>43230</v>
          </cell>
          <cell r="O15">
            <v>43231</v>
          </cell>
          <cell r="P15">
            <v>43232</v>
          </cell>
          <cell r="R15">
            <v>43254</v>
          </cell>
          <cell r="S15">
            <v>43255</v>
          </cell>
          <cell r="T15">
            <v>43256</v>
          </cell>
          <cell r="U15">
            <v>43257</v>
          </cell>
          <cell r="V15">
            <v>43258</v>
          </cell>
          <cell r="W15">
            <v>43259</v>
          </cell>
          <cell r="X15">
            <v>43260</v>
          </cell>
        </row>
        <row r="16">
          <cell r="B16">
            <v>43205</v>
          </cell>
          <cell r="C16">
            <v>43206</v>
          </cell>
          <cell r="D16">
            <v>43207</v>
          </cell>
          <cell r="E16">
            <v>43208</v>
          </cell>
          <cell r="F16">
            <v>43209</v>
          </cell>
          <cell r="G16">
            <v>43210</v>
          </cell>
          <cell r="H16">
            <v>43211</v>
          </cell>
          <cell r="J16">
            <v>43233</v>
          </cell>
          <cell r="K16">
            <v>43234</v>
          </cell>
          <cell r="L16">
            <v>43235</v>
          </cell>
          <cell r="M16">
            <v>43236</v>
          </cell>
          <cell r="N16">
            <v>43237</v>
          </cell>
          <cell r="O16">
            <v>43238</v>
          </cell>
          <cell r="P16">
            <v>43239</v>
          </cell>
          <cell r="R16">
            <v>43261</v>
          </cell>
          <cell r="S16">
            <v>43262</v>
          </cell>
          <cell r="T16">
            <v>43263</v>
          </cell>
          <cell r="U16">
            <v>43264</v>
          </cell>
          <cell r="V16">
            <v>43265</v>
          </cell>
          <cell r="W16">
            <v>43266</v>
          </cell>
          <cell r="X16">
            <v>43267</v>
          </cell>
        </row>
        <row r="17">
          <cell r="B17">
            <v>43212</v>
          </cell>
          <cell r="C17">
            <v>43213</v>
          </cell>
          <cell r="D17">
            <v>43214</v>
          </cell>
          <cell r="E17">
            <v>43215</v>
          </cell>
          <cell r="F17">
            <v>43216</v>
          </cell>
          <cell r="G17">
            <v>43217</v>
          </cell>
          <cell r="H17">
            <v>43218</v>
          </cell>
          <cell r="J17">
            <v>43240</v>
          </cell>
          <cell r="K17">
            <v>43241</v>
          </cell>
          <cell r="L17">
            <v>43242</v>
          </cell>
          <cell r="M17">
            <v>43243</v>
          </cell>
          <cell r="N17">
            <v>43244</v>
          </cell>
          <cell r="O17">
            <v>43245</v>
          </cell>
          <cell r="P17">
            <v>43246</v>
          </cell>
          <cell r="R17">
            <v>43268</v>
          </cell>
          <cell r="S17">
            <v>43269</v>
          </cell>
          <cell r="T17">
            <v>43270</v>
          </cell>
          <cell r="U17">
            <v>43271</v>
          </cell>
          <cell r="V17">
            <v>43272</v>
          </cell>
          <cell r="W17">
            <v>43273</v>
          </cell>
          <cell r="X17">
            <v>43274</v>
          </cell>
        </row>
        <row r="18">
          <cell r="B18">
            <v>43219</v>
          </cell>
          <cell r="C18">
            <v>43220</v>
          </cell>
          <cell r="J18">
            <v>43247</v>
          </cell>
          <cell r="K18">
            <v>43248</v>
          </cell>
          <cell r="L18">
            <v>43249</v>
          </cell>
          <cell r="M18">
            <v>43250</v>
          </cell>
          <cell r="N18">
            <v>43251</v>
          </cell>
          <cell r="R18">
            <v>43275</v>
          </cell>
          <cell r="S18">
            <v>43276</v>
          </cell>
          <cell r="T18">
            <v>43277</v>
          </cell>
          <cell r="U18">
            <v>43278</v>
          </cell>
          <cell r="V18">
            <v>43279</v>
          </cell>
          <cell r="W18">
            <v>43280</v>
          </cell>
          <cell r="X18">
            <v>43281</v>
          </cell>
        </row>
        <row r="19">
          <cell r="B19">
            <v>43219</v>
          </cell>
          <cell r="C19">
            <v>43220</v>
          </cell>
        </row>
        <row r="24">
          <cell r="B24">
            <v>43282</v>
          </cell>
          <cell r="C24">
            <v>43283</v>
          </cell>
          <cell r="D24">
            <v>43284</v>
          </cell>
          <cell r="E24">
            <v>43285</v>
          </cell>
          <cell r="F24">
            <v>43286</v>
          </cell>
          <cell r="G24">
            <v>43287</v>
          </cell>
          <cell r="H24">
            <v>43288</v>
          </cell>
          <cell r="M24">
            <v>43313</v>
          </cell>
          <cell r="N24">
            <v>43314</v>
          </cell>
          <cell r="O24">
            <v>43315</v>
          </cell>
          <cell r="P24">
            <v>43316</v>
          </cell>
          <cell r="X24">
            <v>43344</v>
          </cell>
        </row>
        <row r="25">
          <cell r="B25">
            <v>43289</v>
          </cell>
          <cell r="C25">
            <v>43290</v>
          </cell>
          <cell r="D25">
            <v>43291</v>
          </cell>
          <cell r="E25">
            <v>43292</v>
          </cell>
          <cell r="F25">
            <v>43293</v>
          </cell>
          <cell r="G25">
            <v>43294</v>
          </cell>
          <cell r="H25">
            <v>43295</v>
          </cell>
          <cell r="J25">
            <v>43317</v>
          </cell>
          <cell r="K25">
            <v>43318</v>
          </cell>
          <cell r="L25">
            <v>43319</v>
          </cell>
          <cell r="M25">
            <v>43320</v>
          </cell>
          <cell r="N25">
            <v>43321</v>
          </cell>
          <cell r="O25">
            <v>43322</v>
          </cell>
          <cell r="P25">
            <v>43323</v>
          </cell>
          <cell r="R25">
            <v>43345</v>
          </cell>
          <cell r="S25">
            <v>43346</v>
          </cell>
          <cell r="T25">
            <v>43347</v>
          </cell>
          <cell r="U25">
            <v>43348</v>
          </cell>
          <cell r="V25">
            <v>43349</v>
          </cell>
          <cell r="W25">
            <v>43350</v>
          </cell>
          <cell r="X25">
            <v>43351</v>
          </cell>
        </row>
        <row r="26">
          <cell r="B26">
            <v>43296</v>
          </cell>
          <cell r="C26">
            <v>43297</v>
          </cell>
          <cell r="D26">
            <v>43298</v>
          </cell>
          <cell r="E26">
            <v>43299</v>
          </cell>
          <cell r="F26">
            <v>43300</v>
          </cell>
          <cell r="G26">
            <v>43301</v>
          </cell>
          <cell r="H26">
            <v>43302</v>
          </cell>
          <cell r="J26">
            <v>43324</v>
          </cell>
          <cell r="K26">
            <v>43325</v>
          </cell>
          <cell r="L26">
            <v>43326</v>
          </cell>
          <cell r="M26">
            <v>43327</v>
          </cell>
          <cell r="N26">
            <v>43328</v>
          </cell>
          <cell r="O26">
            <v>43329</v>
          </cell>
          <cell r="P26">
            <v>43330</v>
          </cell>
          <cell r="R26">
            <v>43352</v>
          </cell>
          <cell r="S26">
            <v>43353</v>
          </cell>
          <cell r="T26">
            <v>43354</v>
          </cell>
          <cell r="U26">
            <v>43355</v>
          </cell>
          <cell r="V26">
            <v>43356</v>
          </cell>
          <cell r="W26">
            <v>43357</v>
          </cell>
          <cell r="X26">
            <v>43358</v>
          </cell>
        </row>
        <row r="27">
          <cell r="B27">
            <v>43303</v>
          </cell>
          <cell r="C27">
            <v>43304</v>
          </cell>
          <cell r="D27">
            <v>43305</v>
          </cell>
          <cell r="E27">
            <v>43306</v>
          </cell>
          <cell r="F27">
            <v>43307</v>
          </cell>
          <cell r="G27">
            <v>43308</v>
          </cell>
          <cell r="H27">
            <v>43309</v>
          </cell>
          <cell r="J27">
            <v>43331</v>
          </cell>
          <cell r="K27">
            <v>43332</v>
          </cell>
          <cell r="L27">
            <v>43333</v>
          </cell>
          <cell r="M27">
            <v>43334</v>
          </cell>
          <cell r="N27">
            <v>43335</v>
          </cell>
          <cell r="O27">
            <v>43336</v>
          </cell>
          <cell r="P27">
            <v>43337</v>
          </cell>
          <cell r="R27">
            <v>43359</v>
          </cell>
          <cell r="S27">
            <v>43360</v>
          </cell>
          <cell r="T27">
            <v>43361</v>
          </cell>
          <cell r="U27">
            <v>43362</v>
          </cell>
          <cell r="V27">
            <v>43363</v>
          </cell>
          <cell r="W27">
            <v>43364</v>
          </cell>
          <cell r="X27">
            <v>43365</v>
          </cell>
        </row>
        <row r="28">
          <cell r="B28">
            <v>43310</v>
          </cell>
          <cell r="C28">
            <v>43311</v>
          </cell>
          <cell r="D28">
            <v>43312</v>
          </cell>
          <cell r="J28">
            <v>43338</v>
          </cell>
          <cell r="K28">
            <v>43339</v>
          </cell>
          <cell r="L28">
            <v>43340</v>
          </cell>
          <cell r="M28">
            <v>43341</v>
          </cell>
          <cell r="N28">
            <v>43342</v>
          </cell>
          <cell r="O28">
            <v>43343</v>
          </cell>
          <cell r="R28">
            <v>43366</v>
          </cell>
          <cell r="S28">
            <v>43367</v>
          </cell>
          <cell r="T28">
            <v>43368</v>
          </cell>
          <cell r="U28">
            <v>43369</v>
          </cell>
          <cell r="V28">
            <v>43370</v>
          </cell>
          <cell r="W28">
            <v>43371</v>
          </cell>
          <cell r="X28">
            <v>43372</v>
          </cell>
        </row>
        <row r="29">
          <cell r="R29">
            <v>43373</v>
          </cell>
        </row>
        <row r="33">
          <cell r="C33">
            <v>43374</v>
          </cell>
          <cell r="D33">
            <v>43375</v>
          </cell>
          <cell r="E33">
            <v>43376</v>
          </cell>
          <cell r="F33">
            <v>43377</v>
          </cell>
          <cell r="G33">
            <v>43378</v>
          </cell>
          <cell r="H33">
            <v>43379</v>
          </cell>
          <cell r="N33">
            <v>43405</v>
          </cell>
          <cell r="O33">
            <v>43406</v>
          </cell>
          <cell r="P33">
            <v>43407</v>
          </cell>
          <cell r="X33">
            <v>43435</v>
          </cell>
        </row>
        <row r="34">
          <cell r="B34">
            <v>43380</v>
          </cell>
          <cell r="C34">
            <v>43381</v>
          </cell>
          <cell r="D34">
            <v>43382</v>
          </cell>
          <cell r="E34">
            <v>43383</v>
          </cell>
          <cell r="F34">
            <v>43384</v>
          </cell>
          <cell r="G34">
            <v>43385</v>
          </cell>
          <cell r="H34">
            <v>43386</v>
          </cell>
          <cell r="J34">
            <v>43408</v>
          </cell>
          <cell r="K34">
            <v>43409</v>
          </cell>
          <cell r="L34">
            <v>43410</v>
          </cell>
          <cell r="M34">
            <v>43411</v>
          </cell>
          <cell r="N34">
            <v>43412</v>
          </cell>
          <cell r="O34">
            <v>43413</v>
          </cell>
          <cell r="P34">
            <v>43414</v>
          </cell>
          <cell r="R34">
            <v>43436</v>
          </cell>
          <cell r="S34">
            <v>43437</v>
          </cell>
          <cell r="T34">
            <v>43438</v>
          </cell>
          <cell r="U34">
            <v>43439</v>
          </cell>
          <cell r="V34">
            <v>43440</v>
          </cell>
          <cell r="W34">
            <v>43441</v>
          </cell>
          <cell r="X34">
            <v>43442</v>
          </cell>
        </row>
        <row r="35">
          <cell r="B35">
            <v>43387</v>
          </cell>
          <cell r="C35">
            <v>43388</v>
          </cell>
          <cell r="D35">
            <v>43389</v>
          </cell>
          <cell r="E35">
            <v>43390</v>
          </cell>
          <cell r="F35">
            <v>43391</v>
          </cell>
          <cell r="G35">
            <v>43392</v>
          </cell>
          <cell r="H35">
            <v>43393</v>
          </cell>
          <cell r="J35">
            <v>43415</v>
          </cell>
          <cell r="K35">
            <v>43416</v>
          </cell>
          <cell r="L35">
            <v>43417</v>
          </cell>
          <cell r="M35">
            <v>43418</v>
          </cell>
          <cell r="N35">
            <v>43419</v>
          </cell>
          <cell r="O35">
            <v>43420</v>
          </cell>
          <cell r="P35">
            <v>43421</v>
          </cell>
          <cell r="R35">
            <v>43443</v>
          </cell>
          <cell r="S35">
            <v>43444</v>
          </cell>
          <cell r="T35">
            <v>43445</v>
          </cell>
          <cell r="U35">
            <v>43446</v>
          </cell>
          <cell r="V35">
            <v>43447</v>
          </cell>
          <cell r="W35">
            <v>43448</v>
          </cell>
          <cell r="X35">
            <v>43449</v>
          </cell>
        </row>
        <row r="36">
          <cell r="B36">
            <v>43394</v>
          </cell>
          <cell r="C36">
            <v>43395</v>
          </cell>
          <cell r="D36">
            <v>43396</v>
          </cell>
          <cell r="E36">
            <v>43397</v>
          </cell>
          <cell r="F36">
            <v>43398</v>
          </cell>
          <cell r="G36">
            <v>43399</v>
          </cell>
          <cell r="H36">
            <v>43400</v>
          </cell>
          <cell r="J36">
            <v>43422</v>
          </cell>
          <cell r="K36">
            <v>43423</v>
          </cell>
          <cell r="L36">
            <v>43424</v>
          </cell>
          <cell r="M36">
            <v>43425</v>
          </cell>
          <cell r="N36">
            <v>43426</v>
          </cell>
          <cell r="O36">
            <v>43427</v>
          </cell>
          <cell r="P36">
            <v>43428</v>
          </cell>
          <cell r="R36">
            <v>43450</v>
          </cell>
          <cell r="S36">
            <v>43451</v>
          </cell>
          <cell r="T36">
            <v>43452</v>
          </cell>
          <cell r="U36">
            <v>43453</v>
          </cell>
          <cell r="V36">
            <v>43454</v>
          </cell>
          <cell r="W36">
            <v>43455</v>
          </cell>
          <cell r="X36">
            <v>43456</v>
          </cell>
        </row>
        <row r="37">
          <cell r="B37">
            <v>43401</v>
          </cell>
          <cell r="C37">
            <v>43402</v>
          </cell>
          <cell r="D37">
            <v>43403</v>
          </cell>
          <cell r="E37">
            <v>43404</v>
          </cell>
          <cell r="J37">
            <v>43429</v>
          </cell>
          <cell r="K37">
            <v>43430</v>
          </cell>
          <cell r="L37">
            <v>43431</v>
          </cell>
          <cell r="M37">
            <v>43432</v>
          </cell>
          <cell r="N37">
            <v>43433</v>
          </cell>
          <cell r="O37">
            <v>43434</v>
          </cell>
          <cell r="R37">
            <v>43457</v>
          </cell>
          <cell r="S37">
            <v>43458</v>
          </cell>
          <cell r="T37">
            <v>43459</v>
          </cell>
          <cell r="U37">
            <v>43460</v>
          </cell>
          <cell r="V37">
            <v>43461</v>
          </cell>
          <cell r="W37">
            <v>43462</v>
          </cell>
          <cell r="X37">
            <v>43463</v>
          </cell>
        </row>
        <row r="38">
          <cell r="R38">
            <v>43464</v>
          </cell>
          <cell r="S38">
            <v>43465</v>
          </cell>
        </row>
      </sheetData>
      <sheetData sheetId="1" refreshError="1"/>
      <sheetData sheetId="2">
        <row r="2">
          <cell r="F2">
            <v>0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"/>
      <sheetName val="Monthly"/>
      <sheetName val="Mini"/>
      <sheetName val="Full - color 1"/>
      <sheetName val="Full - color 2"/>
      <sheetName val="Full - color 3"/>
    </sheetNames>
    <sheetDataSet>
      <sheetData sheetId="0"/>
      <sheetData sheetId="1"/>
      <sheetData sheetId="2">
        <row r="6">
          <cell r="C6">
            <v>43100</v>
          </cell>
          <cell r="D6">
            <v>43101</v>
          </cell>
          <cell r="E6">
            <v>43102</v>
          </cell>
          <cell r="F6">
            <v>43103</v>
          </cell>
          <cell r="G6">
            <v>43104</v>
          </cell>
          <cell r="H6">
            <v>43105</v>
          </cell>
          <cell r="I6">
            <v>43106</v>
          </cell>
          <cell r="J6">
            <v>43107</v>
          </cell>
          <cell r="K6">
            <v>43108</v>
          </cell>
          <cell r="L6">
            <v>43109</v>
          </cell>
          <cell r="M6">
            <v>43110</v>
          </cell>
          <cell r="N6">
            <v>43111</v>
          </cell>
          <cell r="O6">
            <v>43112</v>
          </cell>
          <cell r="P6">
            <v>43113</v>
          </cell>
          <cell r="Q6">
            <v>43114</v>
          </cell>
          <cell r="R6">
            <v>43115</v>
          </cell>
          <cell r="S6">
            <v>43116</v>
          </cell>
          <cell r="T6">
            <v>43117</v>
          </cell>
          <cell r="U6">
            <v>43118</v>
          </cell>
          <cell r="V6">
            <v>43119</v>
          </cell>
          <cell r="W6">
            <v>43120</v>
          </cell>
          <cell r="X6">
            <v>43121</v>
          </cell>
          <cell r="Y6">
            <v>43122</v>
          </cell>
          <cell r="Z6">
            <v>43123</v>
          </cell>
          <cell r="AA6">
            <v>43124</v>
          </cell>
          <cell r="AB6">
            <v>43125</v>
          </cell>
          <cell r="AC6">
            <v>43126</v>
          </cell>
          <cell r="AD6">
            <v>43127</v>
          </cell>
          <cell r="AE6">
            <v>43128</v>
          </cell>
          <cell r="AF6">
            <v>43129</v>
          </cell>
          <cell r="AG6">
            <v>43130</v>
          </cell>
          <cell r="AH6">
            <v>43131</v>
          </cell>
          <cell r="AI6">
            <v>43132</v>
          </cell>
          <cell r="AJ6">
            <v>43133</v>
          </cell>
          <cell r="AK6">
            <v>43134</v>
          </cell>
          <cell r="AL6">
            <v>43135</v>
          </cell>
          <cell r="AM6">
            <v>43136</v>
          </cell>
          <cell r="AN6">
            <v>43137</v>
          </cell>
          <cell r="AO6">
            <v>43138</v>
          </cell>
          <cell r="AP6">
            <v>43139</v>
          </cell>
          <cell r="AQ6">
            <v>43140</v>
          </cell>
          <cell r="AR6">
            <v>43141</v>
          </cell>
        </row>
        <row r="7">
          <cell r="C7">
            <v>43128</v>
          </cell>
          <cell r="D7">
            <v>43129</v>
          </cell>
          <cell r="E7">
            <v>43130</v>
          </cell>
          <cell r="F7">
            <v>43131</v>
          </cell>
          <cell r="G7">
            <v>43132</v>
          </cell>
          <cell r="H7">
            <v>43133</v>
          </cell>
          <cell r="I7">
            <v>43134</v>
          </cell>
          <cell r="J7">
            <v>43135</v>
          </cell>
          <cell r="K7">
            <v>43136</v>
          </cell>
          <cell r="L7">
            <v>43137</v>
          </cell>
          <cell r="M7">
            <v>43138</v>
          </cell>
          <cell r="N7">
            <v>43139</v>
          </cell>
          <cell r="O7">
            <v>43140</v>
          </cell>
          <cell r="P7">
            <v>43141</v>
          </cell>
          <cell r="Q7">
            <v>43142</v>
          </cell>
          <cell r="R7">
            <v>43143</v>
          </cell>
          <cell r="S7">
            <v>43144</v>
          </cell>
          <cell r="T7">
            <v>43145</v>
          </cell>
          <cell r="U7">
            <v>43146</v>
          </cell>
          <cell r="V7">
            <v>43147</v>
          </cell>
          <cell r="W7">
            <v>43148</v>
          </cell>
          <cell r="X7">
            <v>43149</v>
          </cell>
          <cell r="Y7">
            <v>43150</v>
          </cell>
          <cell r="Z7">
            <v>43151</v>
          </cell>
          <cell r="AA7">
            <v>43152</v>
          </cell>
          <cell r="AB7">
            <v>43153</v>
          </cell>
          <cell r="AC7">
            <v>43154</v>
          </cell>
          <cell r="AD7">
            <v>43155</v>
          </cell>
          <cell r="AE7">
            <v>43156</v>
          </cell>
          <cell r="AF7">
            <v>43157</v>
          </cell>
          <cell r="AG7">
            <v>43158</v>
          </cell>
          <cell r="AH7">
            <v>43159</v>
          </cell>
          <cell r="AI7">
            <v>43160</v>
          </cell>
          <cell r="AJ7">
            <v>43161</v>
          </cell>
          <cell r="AK7">
            <v>43162</v>
          </cell>
          <cell r="AL7">
            <v>43163</v>
          </cell>
          <cell r="AM7">
            <v>43164</v>
          </cell>
          <cell r="AN7">
            <v>43165</v>
          </cell>
          <cell r="AO7">
            <v>43166</v>
          </cell>
          <cell r="AP7">
            <v>43167</v>
          </cell>
          <cell r="AQ7">
            <v>43168</v>
          </cell>
          <cell r="AR7">
            <v>43169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B350"/>
  <sheetViews>
    <sheetView tabSelected="1" workbookViewId="0">
      <selection activeCell="S45" sqref="S45"/>
    </sheetView>
  </sheetViews>
  <sheetFormatPr baseColWidth="10" defaultRowHeight="15" x14ac:dyDescent="0.25"/>
  <cols>
    <col min="1" max="1" width="3" style="14" customWidth="1"/>
    <col min="2" max="24" width="3.7109375" style="14" customWidth="1"/>
    <col min="25" max="25" width="4" style="14" customWidth="1"/>
    <col min="26" max="26" width="3" style="14" customWidth="1"/>
    <col min="27" max="27" width="1.42578125" style="14" customWidth="1"/>
    <col min="28" max="28" width="37" style="14" bestFit="1" customWidth="1"/>
    <col min="29" max="29" width="11.7109375" style="14" customWidth="1"/>
    <col min="30" max="16384" width="11.42578125" style="14"/>
  </cols>
  <sheetData>
    <row r="1" spans="2:28" ht="15.75" thickBot="1" x14ac:dyDescent="0.3"/>
    <row r="2" spans="2:28" ht="37.5" customHeight="1" thickBot="1" x14ac:dyDescent="0.3">
      <c r="B2" s="69">
        <v>44197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1"/>
    </row>
    <row r="3" spans="2:28" ht="15" customHeight="1" x14ac:dyDescent="0.25">
      <c r="B3" s="13"/>
      <c r="C3" s="13"/>
      <c r="D3" s="15"/>
      <c r="E3" s="15"/>
      <c r="F3" s="15"/>
      <c r="G3" s="15"/>
      <c r="H3" s="13"/>
      <c r="I3" s="16"/>
      <c r="J3" s="13"/>
      <c r="K3" s="13"/>
      <c r="L3" s="13"/>
      <c r="M3" s="13"/>
      <c r="N3" s="13"/>
      <c r="O3" s="13"/>
      <c r="P3" s="13"/>
      <c r="Q3" s="16"/>
      <c r="R3" s="13"/>
      <c r="S3" s="13"/>
      <c r="T3" s="13"/>
      <c r="U3" s="13"/>
      <c r="V3" s="13"/>
      <c r="W3" s="13"/>
      <c r="X3" s="13"/>
    </row>
    <row r="4" spans="2:28" s="17" customFormat="1" ht="15" customHeight="1" x14ac:dyDescent="0.25">
      <c r="B4" s="75">
        <v>43101</v>
      </c>
      <c r="C4" s="76"/>
      <c r="D4" s="76"/>
      <c r="E4" s="76"/>
      <c r="F4" s="76"/>
      <c r="G4" s="76"/>
      <c r="H4" s="77"/>
      <c r="I4" s="12"/>
      <c r="J4" s="72">
        <v>43132</v>
      </c>
      <c r="K4" s="73"/>
      <c r="L4" s="73"/>
      <c r="M4" s="73"/>
      <c r="N4" s="73"/>
      <c r="O4" s="73"/>
      <c r="P4" s="74"/>
      <c r="Q4" s="12"/>
      <c r="R4" s="72">
        <v>43160</v>
      </c>
      <c r="S4" s="73"/>
      <c r="T4" s="73"/>
      <c r="U4" s="73"/>
      <c r="V4" s="73"/>
      <c r="W4" s="73"/>
      <c r="X4" s="74"/>
    </row>
    <row r="5" spans="2:28" ht="15" customHeight="1" x14ac:dyDescent="0.25">
      <c r="B5" s="52" t="s">
        <v>0</v>
      </c>
      <c r="C5" s="53" t="s">
        <v>1</v>
      </c>
      <c r="D5" s="53" t="s">
        <v>2</v>
      </c>
      <c r="E5" s="53" t="s">
        <v>3</v>
      </c>
      <c r="F5" s="53" t="s">
        <v>4</v>
      </c>
      <c r="G5" s="53" t="s">
        <v>5</v>
      </c>
      <c r="H5" s="54" t="s">
        <v>6</v>
      </c>
      <c r="I5" s="9"/>
      <c r="J5" s="52" t="s">
        <v>0</v>
      </c>
      <c r="K5" s="53" t="s">
        <v>1</v>
      </c>
      <c r="L5" s="53" t="s">
        <v>2</v>
      </c>
      <c r="M5" s="53" t="s">
        <v>3</v>
      </c>
      <c r="N5" s="53" t="s">
        <v>4</v>
      </c>
      <c r="O5" s="53" t="s">
        <v>5</v>
      </c>
      <c r="P5" s="54" t="s">
        <v>6</v>
      </c>
      <c r="Q5" s="9"/>
      <c r="R5" s="52" t="s">
        <v>0</v>
      </c>
      <c r="S5" s="53" t="s">
        <v>1</v>
      </c>
      <c r="T5" s="53" t="s">
        <v>2</v>
      </c>
      <c r="U5" s="53" t="s">
        <v>3</v>
      </c>
      <c r="V5" s="53" t="s">
        <v>4</v>
      </c>
      <c r="W5" s="53" t="s">
        <v>5</v>
      </c>
      <c r="X5" s="54" t="s">
        <v>6</v>
      </c>
      <c r="Z5" s="13"/>
      <c r="AA5" s="13"/>
      <c r="AB5" s="18"/>
    </row>
    <row r="6" spans="2:28" ht="15" customHeight="1" x14ac:dyDescent="0.25">
      <c r="B6" s="65"/>
      <c r="C6" s="65"/>
      <c r="D6" s="65"/>
      <c r="E6" s="66"/>
      <c r="F6" s="66"/>
      <c r="G6" s="66"/>
      <c r="H6" s="66"/>
      <c r="I6" s="9"/>
      <c r="J6" s="57"/>
      <c r="K6" s="58"/>
      <c r="L6" s="58"/>
      <c r="M6" s="58"/>
      <c r="N6" s="58"/>
      <c r="O6" s="58"/>
      <c r="P6" s="36"/>
      <c r="Q6" s="9"/>
      <c r="R6" s="35"/>
      <c r="S6" s="10"/>
      <c r="T6" s="10"/>
      <c r="U6" s="10"/>
      <c r="V6" s="10"/>
      <c r="W6" s="10"/>
      <c r="X6" s="36"/>
      <c r="Z6" s="19"/>
      <c r="AB6" s="39" t="s">
        <v>9</v>
      </c>
    </row>
    <row r="7" spans="2:28" ht="15" customHeight="1" x14ac:dyDescent="0.25">
      <c r="B7" s="66"/>
      <c r="C7" s="66"/>
      <c r="D7" s="66"/>
      <c r="E7" s="66"/>
      <c r="F7" s="66"/>
      <c r="G7" s="66"/>
      <c r="H7" s="66"/>
      <c r="I7" s="9"/>
      <c r="J7" s="35"/>
      <c r="K7" s="10"/>
      <c r="L7" s="10"/>
      <c r="M7" s="10"/>
      <c r="N7" s="10"/>
      <c r="O7" s="10"/>
      <c r="P7" s="36"/>
      <c r="Q7" s="9"/>
      <c r="R7" s="35"/>
      <c r="S7" s="10"/>
      <c r="T7" s="10"/>
      <c r="U7" s="10"/>
      <c r="V7" s="10"/>
      <c r="W7" s="10"/>
      <c r="X7" s="36"/>
      <c r="Z7" s="20"/>
      <c r="AB7" s="39" t="s">
        <v>10</v>
      </c>
    </row>
    <row r="8" spans="2:28" ht="15" customHeight="1" x14ac:dyDescent="0.25">
      <c r="B8" s="66"/>
      <c r="C8" s="66"/>
      <c r="D8" s="66"/>
      <c r="E8" s="66"/>
      <c r="F8" s="66"/>
      <c r="G8" s="66"/>
      <c r="H8" s="66"/>
      <c r="I8" s="9"/>
      <c r="J8" s="35"/>
      <c r="K8" s="10"/>
      <c r="L8" s="10"/>
      <c r="M8" s="10"/>
      <c r="N8" s="10"/>
      <c r="O8" s="10"/>
      <c r="P8" s="36"/>
      <c r="Q8" s="9"/>
      <c r="R8" s="35"/>
      <c r="S8" s="10"/>
      <c r="T8" s="10"/>
      <c r="U8" s="10"/>
      <c r="V8" s="10"/>
      <c r="W8" s="10"/>
      <c r="X8" s="36"/>
      <c r="Z8" s="21"/>
      <c r="AB8" s="39" t="s">
        <v>20</v>
      </c>
    </row>
    <row r="9" spans="2:28" ht="15" customHeight="1" x14ac:dyDescent="0.25">
      <c r="B9" s="66"/>
      <c r="C9" s="66"/>
      <c r="D9" s="66"/>
      <c r="E9" s="66"/>
      <c r="F9" s="66"/>
      <c r="G9" s="66"/>
      <c r="H9" s="66"/>
      <c r="I9" s="9"/>
      <c r="J9" s="35"/>
      <c r="K9" s="10"/>
      <c r="L9" s="10"/>
      <c r="M9" s="10"/>
      <c r="N9" s="10"/>
      <c r="O9" s="10"/>
      <c r="P9" s="36"/>
      <c r="Q9" s="9"/>
      <c r="R9" s="35"/>
      <c r="S9" s="10"/>
      <c r="T9" s="10"/>
      <c r="U9" s="10"/>
      <c r="V9" s="10"/>
      <c r="W9" s="10"/>
      <c r="X9" s="36"/>
      <c r="Z9" s="22"/>
      <c r="AB9" s="39" t="s">
        <v>21</v>
      </c>
    </row>
    <row r="10" spans="2:28" ht="15" customHeight="1" x14ac:dyDescent="0.25">
      <c r="B10" s="66"/>
      <c r="C10" s="66"/>
      <c r="D10" s="66"/>
      <c r="E10" s="66"/>
      <c r="F10" s="66"/>
      <c r="G10" s="66"/>
      <c r="H10" s="65"/>
      <c r="I10" s="9"/>
      <c r="J10" s="35"/>
      <c r="K10" s="10"/>
      <c r="L10" s="10"/>
      <c r="M10" s="10"/>
      <c r="N10" s="10"/>
      <c r="O10" s="10"/>
      <c r="P10" s="36"/>
      <c r="Q10" s="9"/>
      <c r="R10" s="35"/>
      <c r="S10" s="10"/>
      <c r="T10" s="10"/>
      <c r="U10" s="58"/>
      <c r="V10" s="58"/>
      <c r="W10" s="58"/>
      <c r="X10" s="62"/>
      <c r="Z10" s="23"/>
      <c r="AB10" s="39" t="s">
        <v>16</v>
      </c>
    </row>
    <row r="11" spans="2:28" ht="15" customHeight="1" x14ac:dyDescent="0.25">
      <c r="B11" s="65"/>
      <c r="C11" s="65"/>
      <c r="D11" s="65"/>
      <c r="E11" s="65"/>
      <c r="F11" s="65"/>
      <c r="G11" s="65"/>
      <c r="H11" s="65"/>
      <c r="I11" s="9"/>
      <c r="J11" s="59"/>
      <c r="K11" s="60"/>
      <c r="L11" s="60"/>
      <c r="M11" s="60"/>
      <c r="N11" s="60"/>
      <c r="O11" s="60"/>
      <c r="P11" s="61"/>
      <c r="Q11" s="9"/>
      <c r="R11" s="59"/>
      <c r="S11" s="60"/>
      <c r="T11" s="60"/>
      <c r="U11" s="60"/>
      <c r="V11" s="60"/>
      <c r="W11" s="60"/>
      <c r="X11" s="61"/>
      <c r="Z11" s="24"/>
      <c r="AB11" s="39" t="s">
        <v>14</v>
      </c>
    </row>
    <row r="12" spans="2:28" ht="15" customHeight="1" x14ac:dyDescent="0.25">
      <c r="B12" s="64"/>
      <c r="C12" s="64"/>
      <c r="D12" s="64"/>
      <c r="E12" s="64"/>
      <c r="F12" s="64"/>
      <c r="G12" s="64"/>
      <c r="H12" s="64"/>
      <c r="I12" s="9"/>
      <c r="J12" s="64"/>
      <c r="K12" s="64"/>
      <c r="L12" s="64"/>
      <c r="M12" s="64"/>
      <c r="N12" s="64"/>
      <c r="O12" s="64"/>
      <c r="P12" s="64"/>
      <c r="Q12" s="9"/>
      <c r="R12" s="11"/>
      <c r="S12" s="11"/>
      <c r="T12" s="11"/>
      <c r="U12" s="11"/>
      <c r="V12" s="11"/>
      <c r="W12" s="11"/>
      <c r="X12" s="11"/>
    </row>
    <row r="13" spans="2:28" s="17" customFormat="1" ht="15" customHeight="1" x14ac:dyDescent="0.25">
      <c r="B13" s="72">
        <v>44287</v>
      </c>
      <c r="C13" s="73"/>
      <c r="D13" s="73"/>
      <c r="E13" s="73"/>
      <c r="F13" s="73"/>
      <c r="G13" s="73"/>
      <c r="H13" s="74"/>
      <c r="I13" s="12"/>
      <c r="J13" s="72">
        <v>44317</v>
      </c>
      <c r="K13" s="73"/>
      <c r="L13" s="73"/>
      <c r="M13" s="73"/>
      <c r="N13" s="73"/>
      <c r="O13" s="73"/>
      <c r="P13" s="74"/>
      <c r="Q13" s="12"/>
      <c r="R13" s="72">
        <v>43252</v>
      </c>
      <c r="S13" s="73"/>
      <c r="T13" s="73"/>
      <c r="U13" s="73"/>
      <c r="V13" s="73"/>
      <c r="W13" s="73"/>
      <c r="X13" s="74"/>
      <c r="Z13" s="14"/>
      <c r="AA13" s="14"/>
    </row>
    <row r="14" spans="2:28" ht="15" customHeight="1" x14ac:dyDescent="0.25">
      <c r="B14" s="52" t="s">
        <v>0</v>
      </c>
      <c r="C14" s="53" t="s">
        <v>1</v>
      </c>
      <c r="D14" s="53" t="s">
        <v>2</v>
      </c>
      <c r="E14" s="53" t="s">
        <v>3</v>
      </c>
      <c r="F14" s="53" t="s">
        <v>4</v>
      </c>
      <c r="G14" s="53" t="s">
        <v>5</v>
      </c>
      <c r="H14" s="54" t="s">
        <v>6</v>
      </c>
      <c r="I14" s="9"/>
      <c r="J14" s="52" t="s">
        <v>0</v>
      </c>
      <c r="K14" s="53" t="s">
        <v>1</v>
      </c>
      <c r="L14" s="53" t="s">
        <v>2</v>
      </c>
      <c r="M14" s="53" t="s">
        <v>3</v>
      </c>
      <c r="N14" s="53" t="s">
        <v>4</v>
      </c>
      <c r="O14" s="53" t="s">
        <v>5</v>
      </c>
      <c r="P14" s="54" t="s">
        <v>6</v>
      </c>
      <c r="Q14" s="9"/>
      <c r="R14" s="52" t="s">
        <v>0</v>
      </c>
      <c r="S14" s="53" t="s">
        <v>1</v>
      </c>
      <c r="T14" s="53" t="s">
        <v>2</v>
      </c>
      <c r="U14" s="53" t="s">
        <v>3</v>
      </c>
      <c r="V14" s="53" t="s">
        <v>4</v>
      </c>
      <c r="W14" s="53" t="s">
        <v>5</v>
      </c>
      <c r="X14" s="54" t="s">
        <v>6</v>
      </c>
      <c r="Z14" s="17"/>
      <c r="AA14" s="17"/>
    </row>
    <row r="15" spans="2:28" ht="15" customHeight="1" x14ac:dyDescent="0.25">
      <c r="B15" s="65"/>
      <c r="C15" s="65"/>
      <c r="D15" s="65"/>
      <c r="E15" s="65"/>
      <c r="F15" s="65"/>
      <c r="G15" s="65"/>
      <c r="H15" s="65"/>
      <c r="I15" s="25"/>
      <c r="J15" s="57"/>
      <c r="K15" s="58"/>
      <c r="L15" s="58"/>
      <c r="M15" s="58"/>
      <c r="N15" s="58"/>
      <c r="O15" s="10"/>
      <c r="P15" s="36"/>
      <c r="Q15" s="25"/>
      <c r="R15" s="57"/>
      <c r="S15" s="10"/>
      <c r="T15" s="10"/>
      <c r="U15" s="10"/>
      <c r="V15" s="10"/>
      <c r="W15" s="10"/>
      <c r="X15" s="36"/>
    </row>
    <row r="16" spans="2:28" ht="15" customHeight="1" x14ac:dyDescent="0.25">
      <c r="B16" s="65"/>
      <c r="C16" s="65"/>
      <c r="D16" s="65"/>
      <c r="E16" s="65"/>
      <c r="F16" s="65"/>
      <c r="G16" s="65"/>
      <c r="H16" s="65"/>
      <c r="I16" s="25"/>
      <c r="J16" s="35"/>
      <c r="K16" s="10"/>
      <c r="L16" s="10"/>
      <c r="M16" s="10"/>
      <c r="N16" s="10"/>
      <c r="O16" s="10"/>
      <c r="P16" s="36"/>
      <c r="Q16" s="25"/>
      <c r="R16" s="35"/>
      <c r="S16" s="10"/>
      <c r="T16" s="10"/>
      <c r="U16" s="10"/>
      <c r="V16" s="10"/>
      <c r="W16" s="10"/>
      <c r="X16" s="36"/>
    </row>
    <row r="17" spans="2:28" ht="15" customHeight="1" x14ac:dyDescent="0.25">
      <c r="B17" s="65"/>
      <c r="C17" s="65"/>
      <c r="D17" s="65"/>
      <c r="E17" s="65"/>
      <c r="F17" s="65"/>
      <c r="G17" s="65"/>
      <c r="H17" s="65"/>
      <c r="I17" s="25"/>
      <c r="J17" s="35"/>
      <c r="K17" s="10"/>
      <c r="L17" s="10"/>
      <c r="M17" s="10"/>
      <c r="N17" s="10"/>
      <c r="O17" s="10"/>
      <c r="P17" s="36"/>
      <c r="Q17" s="25"/>
      <c r="R17" s="35"/>
      <c r="S17" s="10"/>
      <c r="T17" s="10"/>
      <c r="U17" s="10"/>
      <c r="V17" s="10"/>
      <c r="W17" s="10"/>
      <c r="X17" s="36"/>
    </row>
    <row r="18" spans="2:28" ht="15" customHeight="1" x14ac:dyDescent="0.25">
      <c r="B18" s="65"/>
      <c r="C18" s="65"/>
      <c r="D18" s="65"/>
      <c r="E18" s="65"/>
      <c r="F18" s="65"/>
      <c r="G18" s="65"/>
      <c r="H18" s="65"/>
      <c r="I18" s="25"/>
      <c r="J18" s="35"/>
      <c r="K18" s="10"/>
      <c r="L18" s="10"/>
      <c r="M18" s="10"/>
      <c r="N18" s="10"/>
      <c r="O18" s="10"/>
      <c r="P18" s="36"/>
      <c r="Q18" s="25"/>
      <c r="R18" s="35"/>
      <c r="S18" s="10"/>
      <c r="T18" s="10"/>
      <c r="U18" s="10"/>
      <c r="V18" s="10"/>
      <c r="W18" s="10"/>
      <c r="X18" s="36"/>
    </row>
    <row r="19" spans="2:28" ht="15" customHeight="1" x14ac:dyDescent="0.25">
      <c r="B19" s="65"/>
      <c r="C19" s="65"/>
      <c r="D19" s="65"/>
      <c r="E19" s="65"/>
      <c r="F19" s="65"/>
      <c r="G19" s="65"/>
      <c r="H19" s="65"/>
      <c r="I19" s="9"/>
      <c r="J19" s="35"/>
      <c r="K19" s="10"/>
      <c r="L19" s="10"/>
      <c r="M19" s="10"/>
      <c r="N19" s="10"/>
      <c r="O19" s="10"/>
      <c r="P19" s="36"/>
      <c r="Q19" s="9"/>
      <c r="R19" s="35"/>
      <c r="S19" s="10"/>
      <c r="T19" s="10"/>
      <c r="U19" s="58"/>
      <c r="V19" s="58"/>
      <c r="W19" s="58"/>
      <c r="X19" s="62"/>
    </row>
    <row r="20" spans="2:28" ht="15" customHeight="1" x14ac:dyDescent="0.25">
      <c r="B20" s="65"/>
      <c r="C20" s="65"/>
      <c r="D20" s="65"/>
      <c r="E20" s="65"/>
      <c r="F20" s="65"/>
      <c r="G20" s="65"/>
      <c r="H20" s="65"/>
      <c r="I20" s="9"/>
      <c r="J20" s="56"/>
      <c r="K20" s="63"/>
      <c r="L20" s="60"/>
      <c r="M20" s="60"/>
      <c r="N20" s="60"/>
      <c r="O20" s="60"/>
      <c r="P20" s="61"/>
      <c r="Q20" s="9"/>
      <c r="R20" s="59"/>
      <c r="S20" s="60"/>
      <c r="T20" s="60"/>
      <c r="U20" s="60"/>
      <c r="V20" s="60"/>
      <c r="W20" s="60"/>
      <c r="X20" s="61"/>
    </row>
    <row r="21" spans="2:28" ht="15" customHeight="1" thickBot="1" x14ac:dyDescent="0.3">
      <c r="B21" s="11"/>
      <c r="C21" s="11"/>
      <c r="D21" s="11"/>
      <c r="E21" s="11"/>
      <c r="F21" s="11"/>
      <c r="G21" s="11"/>
      <c r="H21" s="11"/>
      <c r="I21" s="9"/>
      <c r="J21" s="11"/>
      <c r="K21" s="11"/>
      <c r="L21" s="11"/>
      <c r="M21" s="11"/>
      <c r="N21" s="11"/>
      <c r="O21" s="11"/>
      <c r="P21" s="11"/>
      <c r="Q21" s="9"/>
      <c r="R21" s="11"/>
      <c r="S21" s="11"/>
      <c r="T21" s="11"/>
      <c r="U21" s="11"/>
      <c r="V21" s="11"/>
      <c r="W21" s="11"/>
      <c r="X21" s="11"/>
    </row>
    <row r="22" spans="2:28" ht="37.5" customHeight="1" thickBot="1" x14ac:dyDescent="0.3">
      <c r="B22" s="69">
        <v>44197</v>
      </c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1"/>
    </row>
    <row r="23" spans="2:28" ht="15" customHeight="1" x14ac:dyDescent="0.25">
      <c r="B23" s="3"/>
      <c r="C23" s="3"/>
      <c r="D23" s="3"/>
      <c r="E23" s="3"/>
      <c r="F23" s="3"/>
      <c r="G23" s="3"/>
      <c r="H23" s="3"/>
      <c r="I23" s="2"/>
      <c r="J23" s="3"/>
      <c r="K23" s="3"/>
      <c r="L23" s="3"/>
      <c r="M23" s="3"/>
      <c r="N23" s="3"/>
      <c r="O23" s="3"/>
      <c r="P23" s="3"/>
      <c r="Q23" s="2"/>
      <c r="R23" s="3"/>
      <c r="S23" s="3"/>
      <c r="T23" s="3"/>
      <c r="U23" s="3"/>
      <c r="V23" s="3"/>
      <c r="W23" s="3"/>
      <c r="X23" s="3"/>
    </row>
    <row r="24" spans="2:28" s="17" customFormat="1" ht="15" customHeight="1" x14ac:dyDescent="0.25">
      <c r="B24" s="72">
        <v>43282</v>
      </c>
      <c r="C24" s="73"/>
      <c r="D24" s="73"/>
      <c r="E24" s="73"/>
      <c r="F24" s="73"/>
      <c r="G24" s="73"/>
      <c r="H24" s="74"/>
      <c r="I24" s="12"/>
      <c r="J24" s="72">
        <v>43313</v>
      </c>
      <c r="K24" s="73"/>
      <c r="L24" s="73"/>
      <c r="M24" s="73"/>
      <c r="N24" s="73"/>
      <c r="O24" s="73"/>
      <c r="P24" s="74"/>
      <c r="Q24" s="12"/>
      <c r="R24" s="72">
        <v>43344</v>
      </c>
      <c r="S24" s="73"/>
      <c r="T24" s="73"/>
      <c r="U24" s="73"/>
      <c r="V24" s="73"/>
      <c r="W24" s="73"/>
      <c r="X24" s="74"/>
      <c r="Z24" s="14"/>
      <c r="AA24" s="14"/>
    </row>
    <row r="25" spans="2:28" ht="15" customHeight="1" x14ac:dyDescent="0.25">
      <c r="B25" s="52" t="s">
        <v>0</v>
      </c>
      <c r="C25" s="53" t="s">
        <v>1</v>
      </c>
      <c r="D25" s="53" t="s">
        <v>2</v>
      </c>
      <c r="E25" s="53" t="s">
        <v>3</v>
      </c>
      <c r="F25" s="53" t="s">
        <v>4</v>
      </c>
      <c r="G25" s="53" t="s">
        <v>5</v>
      </c>
      <c r="H25" s="54" t="s">
        <v>6</v>
      </c>
      <c r="I25" s="9"/>
      <c r="J25" s="52" t="s">
        <v>0</v>
      </c>
      <c r="K25" s="53" t="s">
        <v>1</v>
      </c>
      <c r="L25" s="53" t="s">
        <v>2</v>
      </c>
      <c r="M25" s="53" t="s">
        <v>3</v>
      </c>
      <c r="N25" s="53" t="s">
        <v>4</v>
      </c>
      <c r="O25" s="53" t="s">
        <v>5</v>
      </c>
      <c r="P25" s="54" t="s">
        <v>6</v>
      </c>
      <c r="Q25" s="9"/>
      <c r="R25" s="52" t="s">
        <v>0</v>
      </c>
      <c r="S25" s="53" t="s">
        <v>1</v>
      </c>
      <c r="T25" s="53" t="s">
        <v>2</v>
      </c>
      <c r="U25" s="53" t="s">
        <v>3</v>
      </c>
      <c r="V25" s="53" t="s">
        <v>4</v>
      </c>
      <c r="W25" s="53" t="s">
        <v>5</v>
      </c>
      <c r="X25" s="54" t="s">
        <v>6</v>
      </c>
      <c r="Z25" s="17"/>
      <c r="AA25" s="17"/>
    </row>
    <row r="26" spans="2:28" ht="15" customHeight="1" x14ac:dyDescent="0.25">
      <c r="B26" s="57"/>
      <c r="C26" s="58"/>
      <c r="D26" s="58"/>
      <c r="E26" s="10"/>
      <c r="F26" s="10"/>
      <c r="G26" s="10"/>
      <c r="H26" s="36"/>
      <c r="I26" s="25"/>
      <c r="J26" s="57"/>
      <c r="K26" s="58"/>
      <c r="L26" s="58"/>
      <c r="M26" s="58"/>
      <c r="N26" s="58"/>
      <c r="O26" s="58"/>
      <c r="P26" s="36"/>
      <c r="Q26" s="25"/>
      <c r="R26" s="57"/>
      <c r="S26" s="58"/>
      <c r="T26" s="10"/>
      <c r="U26" s="10"/>
      <c r="V26" s="10"/>
      <c r="W26" s="10"/>
      <c r="X26" s="36"/>
      <c r="Z26" s="19"/>
      <c r="AB26" s="39" t="s">
        <v>9</v>
      </c>
    </row>
    <row r="27" spans="2:28" ht="15" customHeight="1" x14ac:dyDescent="0.25">
      <c r="B27" s="35"/>
      <c r="C27" s="10"/>
      <c r="D27" s="10"/>
      <c r="E27" s="10"/>
      <c r="F27" s="10"/>
      <c r="G27" s="10"/>
      <c r="H27" s="36"/>
      <c r="I27" s="25"/>
      <c r="J27" s="35"/>
      <c r="K27" s="10"/>
      <c r="L27" s="10"/>
      <c r="M27" s="10"/>
      <c r="N27" s="10"/>
      <c r="O27" s="10"/>
      <c r="P27" s="36"/>
      <c r="Q27" s="25"/>
      <c r="R27" s="35"/>
      <c r="S27" s="10"/>
      <c r="T27" s="10"/>
      <c r="U27" s="10"/>
      <c r="V27" s="10"/>
      <c r="W27" s="10"/>
      <c r="X27" s="36"/>
      <c r="Z27" s="20"/>
      <c r="AB27" s="39" t="s">
        <v>10</v>
      </c>
    </row>
    <row r="28" spans="2:28" ht="15" customHeight="1" x14ac:dyDescent="0.25">
      <c r="B28" s="35"/>
      <c r="C28" s="10"/>
      <c r="D28" s="10"/>
      <c r="E28" s="10"/>
      <c r="F28" s="10"/>
      <c r="G28" s="10"/>
      <c r="H28" s="36"/>
      <c r="I28" s="25"/>
      <c r="J28" s="35"/>
      <c r="K28" s="10"/>
      <c r="L28" s="10"/>
      <c r="M28" s="10"/>
      <c r="N28" s="10"/>
      <c r="O28" s="10"/>
      <c r="P28" s="36"/>
      <c r="Q28" s="25"/>
      <c r="R28" s="35"/>
      <c r="S28" s="10"/>
      <c r="T28" s="10"/>
      <c r="U28" s="10"/>
      <c r="V28" s="10"/>
      <c r="W28" s="10"/>
      <c r="X28" s="36"/>
      <c r="Z28" s="21"/>
      <c r="AB28" s="39" t="s">
        <v>20</v>
      </c>
    </row>
    <row r="29" spans="2:28" ht="15" customHeight="1" x14ac:dyDescent="0.25">
      <c r="B29" s="35"/>
      <c r="C29" s="10"/>
      <c r="D29" s="10"/>
      <c r="E29" s="10"/>
      <c r="F29" s="10"/>
      <c r="G29" s="10"/>
      <c r="H29" s="36"/>
      <c r="I29" s="25"/>
      <c r="J29" s="35"/>
      <c r="K29" s="10"/>
      <c r="L29" s="10"/>
      <c r="M29" s="10"/>
      <c r="N29" s="10"/>
      <c r="O29" s="10"/>
      <c r="P29" s="36"/>
      <c r="Q29" s="25"/>
      <c r="R29" s="35"/>
      <c r="S29" s="10"/>
      <c r="T29" s="10"/>
      <c r="U29" s="10"/>
      <c r="V29" s="10"/>
      <c r="W29" s="10"/>
      <c r="X29" s="36"/>
      <c r="Z29" s="22"/>
      <c r="AB29" s="39" t="s">
        <v>21</v>
      </c>
    </row>
    <row r="30" spans="2:28" ht="15" customHeight="1" x14ac:dyDescent="0.25">
      <c r="B30" s="35"/>
      <c r="C30" s="10"/>
      <c r="D30" s="10"/>
      <c r="E30" s="10"/>
      <c r="F30" s="10"/>
      <c r="G30" s="10"/>
      <c r="H30" s="62"/>
      <c r="I30" s="9"/>
      <c r="J30" s="35"/>
      <c r="K30" s="10"/>
      <c r="L30" s="10"/>
      <c r="M30" s="10"/>
      <c r="N30" s="10"/>
      <c r="O30" s="10"/>
      <c r="P30" s="36"/>
      <c r="Q30" s="9"/>
      <c r="R30" s="35"/>
      <c r="S30" s="10"/>
      <c r="T30" s="10"/>
      <c r="U30" s="10"/>
      <c r="V30" s="58"/>
      <c r="W30" s="58"/>
      <c r="X30" s="62"/>
      <c r="Z30" s="23"/>
      <c r="AB30" s="39" t="s">
        <v>16</v>
      </c>
    </row>
    <row r="31" spans="2:28" ht="15" customHeight="1" x14ac:dyDescent="0.25">
      <c r="B31" s="59"/>
      <c r="C31" s="60"/>
      <c r="D31" s="60"/>
      <c r="E31" s="60"/>
      <c r="F31" s="60"/>
      <c r="G31" s="60"/>
      <c r="H31" s="61"/>
      <c r="I31" s="9"/>
      <c r="J31" s="38"/>
      <c r="K31" s="55"/>
      <c r="L31" s="60"/>
      <c r="M31" s="60"/>
      <c r="N31" s="60"/>
      <c r="O31" s="60"/>
      <c r="P31" s="61"/>
      <c r="Q31" s="9"/>
      <c r="R31" s="59"/>
      <c r="S31" s="60"/>
      <c r="T31" s="60"/>
      <c r="U31" s="60"/>
      <c r="V31" s="60"/>
      <c r="W31" s="60"/>
      <c r="X31" s="61"/>
      <c r="Z31" s="24"/>
      <c r="AB31" s="39" t="s">
        <v>14</v>
      </c>
    </row>
    <row r="32" spans="2:28" ht="15" customHeight="1" x14ac:dyDescent="0.25">
      <c r="B32" s="11"/>
      <c r="C32" s="11"/>
      <c r="D32" s="11"/>
      <c r="E32" s="11"/>
      <c r="F32" s="11"/>
      <c r="G32" s="11"/>
      <c r="H32" s="11"/>
      <c r="I32" s="9"/>
      <c r="J32" s="11"/>
      <c r="K32" s="11"/>
      <c r="L32" s="11"/>
      <c r="M32" s="11"/>
      <c r="N32" s="11"/>
      <c r="O32" s="11"/>
      <c r="P32" s="11"/>
      <c r="Q32" s="9"/>
      <c r="R32" s="37"/>
      <c r="S32" s="37"/>
      <c r="T32" s="37"/>
      <c r="U32" s="37"/>
      <c r="V32" s="37"/>
      <c r="W32" s="37"/>
      <c r="X32" s="37"/>
    </row>
    <row r="33" spans="2:27" s="17" customFormat="1" ht="15" customHeight="1" x14ac:dyDescent="0.25">
      <c r="B33" s="72">
        <v>43374</v>
      </c>
      <c r="C33" s="73"/>
      <c r="D33" s="73"/>
      <c r="E33" s="73"/>
      <c r="F33" s="73"/>
      <c r="G33" s="73"/>
      <c r="H33" s="74"/>
      <c r="I33" s="12"/>
      <c r="J33" s="72">
        <v>43405</v>
      </c>
      <c r="K33" s="73"/>
      <c r="L33" s="73"/>
      <c r="M33" s="73"/>
      <c r="N33" s="73"/>
      <c r="O33" s="73"/>
      <c r="P33" s="74"/>
      <c r="Q33" s="12"/>
      <c r="R33" s="72">
        <v>43435</v>
      </c>
      <c r="S33" s="73"/>
      <c r="T33" s="73"/>
      <c r="U33" s="73"/>
      <c r="V33" s="73"/>
      <c r="W33" s="73"/>
      <c r="X33" s="74"/>
      <c r="Z33" s="14"/>
      <c r="AA33" s="14"/>
    </row>
    <row r="34" spans="2:27" ht="15" customHeight="1" x14ac:dyDescent="0.25">
      <c r="B34" s="52" t="s">
        <v>0</v>
      </c>
      <c r="C34" s="53" t="s">
        <v>1</v>
      </c>
      <c r="D34" s="53" t="s">
        <v>2</v>
      </c>
      <c r="E34" s="53" t="s">
        <v>3</v>
      </c>
      <c r="F34" s="53" t="s">
        <v>4</v>
      </c>
      <c r="G34" s="53" t="s">
        <v>5</v>
      </c>
      <c r="H34" s="54" t="s">
        <v>6</v>
      </c>
      <c r="I34" s="9"/>
      <c r="J34" s="52" t="s">
        <v>0</v>
      </c>
      <c r="K34" s="53" t="s">
        <v>1</v>
      </c>
      <c r="L34" s="53" t="s">
        <v>2</v>
      </c>
      <c r="M34" s="53" t="s">
        <v>3</v>
      </c>
      <c r="N34" s="53" t="s">
        <v>4</v>
      </c>
      <c r="O34" s="53" t="s">
        <v>5</v>
      </c>
      <c r="P34" s="54" t="s">
        <v>6</v>
      </c>
      <c r="Q34" s="9"/>
      <c r="R34" s="52" t="s">
        <v>0</v>
      </c>
      <c r="S34" s="53" t="s">
        <v>1</v>
      </c>
      <c r="T34" s="53" t="s">
        <v>2</v>
      </c>
      <c r="U34" s="53" t="s">
        <v>3</v>
      </c>
      <c r="V34" s="53" t="s">
        <v>4</v>
      </c>
      <c r="W34" s="53" t="s">
        <v>5</v>
      </c>
      <c r="X34" s="54" t="s">
        <v>6</v>
      </c>
      <c r="Z34" s="17"/>
      <c r="AA34" s="17"/>
    </row>
    <row r="35" spans="2:27" ht="15" customHeight="1" x14ac:dyDescent="0.25">
      <c r="B35" s="57"/>
      <c r="C35" s="58"/>
      <c r="D35" s="58"/>
      <c r="E35" s="58"/>
      <c r="F35" s="10"/>
      <c r="G35" s="10"/>
      <c r="H35" s="36"/>
      <c r="I35" s="25"/>
      <c r="J35" s="35"/>
      <c r="K35" s="10"/>
      <c r="L35" s="10"/>
      <c r="M35" s="10"/>
      <c r="N35" s="10"/>
      <c r="O35" s="10"/>
      <c r="P35" s="36"/>
      <c r="Q35" s="25"/>
      <c r="R35" s="57"/>
      <c r="S35" s="58"/>
      <c r="T35" s="10"/>
      <c r="U35" s="10"/>
      <c r="V35" s="10"/>
      <c r="W35" s="10"/>
      <c r="X35" s="36"/>
    </row>
    <row r="36" spans="2:27" ht="15" customHeight="1" x14ac:dyDescent="0.25">
      <c r="B36" s="35"/>
      <c r="C36" s="10"/>
      <c r="D36" s="10"/>
      <c r="E36" s="10"/>
      <c r="F36" s="10"/>
      <c r="G36" s="10"/>
      <c r="H36" s="36"/>
      <c r="I36" s="25"/>
      <c r="J36" s="35"/>
      <c r="K36" s="10"/>
      <c r="L36" s="10"/>
      <c r="M36" s="10"/>
      <c r="N36" s="10"/>
      <c r="O36" s="10"/>
      <c r="P36" s="36"/>
      <c r="Q36" s="25"/>
      <c r="R36" s="35"/>
      <c r="S36" s="10"/>
      <c r="T36" s="10"/>
      <c r="U36" s="10"/>
      <c r="V36" s="10"/>
      <c r="W36" s="10"/>
      <c r="X36" s="36"/>
    </row>
    <row r="37" spans="2:27" ht="15" customHeight="1" x14ac:dyDescent="0.25">
      <c r="B37" s="35"/>
      <c r="C37" s="10"/>
      <c r="D37" s="10"/>
      <c r="E37" s="10"/>
      <c r="F37" s="10"/>
      <c r="G37" s="10"/>
      <c r="H37" s="36"/>
      <c r="I37" s="25"/>
      <c r="J37" s="35"/>
      <c r="K37" s="10"/>
      <c r="L37" s="10"/>
      <c r="M37" s="10"/>
      <c r="N37" s="10"/>
      <c r="O37" s="10"/>
      <c r="P37" s="36"/>
      <c r="Q37" s="25"/>
      <c r="R37" s="35"/>
      <c r="S37" s="10"/>
      <c r="T37" s="10"/>
      <c r="U37" s="10"/>
      <c r="V37" s="10"/>
      <c r="W37" s="10"/>
      <c r="X37" s="36"/>
    </row>
    <row r="38" spans="2:27" ht="15" customHeight="1" x14ac:dyDescent="0.25">
      <c r="B38" s="35"/>
      <c r="C38" s="10"/>
      <c r="D38" s="10"/>
      <c r="E38" s="10"/>
      <c r="F38" s="10"/>
      <c r="G38" s="10"/>
      <c r="H38" s="36"/>
      <c r="I38" s="25"/>
      <c r="J38" s="35"/>
      <c r="K38" s="10"/>
      <c r="L38" s="10"/>
      <c r="M38" s="10"/>
      <c r="N38" s="10"/>
      <c r="O38" s="10"/>
      <c r="P38" s="36"/>
      <c r="Q38" s="25"/>
      <c r="R38" s="35"/>
      <c r="S38" s="10"/>
      <c r="T38" s="10"/>
      <c r="U38" s="10"/>
      <c r="V38" s="10"/>
      <c r="W38" s="10"/>
      <c r="X38" s="36"/>
    </row>
    <row r="39" spans="2:27" ht="15" customHeight="1" x14ac:dyDescent="0.25">
      <c r="B39" s="35"/>
      <c r="C39" s="10"/>
      <c r="D39" s="10"/>
      <c r="E39" s="10"/>
      <c r="F39" s="10"/>
      <c r="G39" s="10"/>
      <c r="H39" s="36"/>
      <c r="I39" s="9"/>
      <c r="J39" s="35"/>
      <c r="K39" s="10"/>
      <c r="L39" s="58"/>
      <c r="M39" s="58"/>
      <c r="N39" s="58"/>
      <c r="O39" s="58"/>
      <c r="P39" s="62"/>
      <c r="Q39" s="9"/>
      <c r="R39" s="35"/>
      <c r="S39" s="10"/>
      <c r="T39" s="10"/>
      <c r="U39" s="10"/>
      <c r="V39" s="10"/>
      <c r="W39" s="58"/>
      <c r="X39" s="62"/>
      <c r="Y39" s="4"/>
    </row>
    <row r="40" spans="2:27" ht="15" customHeight="1" x14ac:dyDescent="0.25">
      <c r="B40" s="59"/>
      <c r="C40" s="60"/>
      <c r="D40" s="60"/>
      <c r="E40" s="60"/>
      <c r="F40" s="60"/>
      <c r="G40" s="60"/>
      <c r="H40" s="61"/>
      <c r="I40" s="9"/>
      <c r="J40" s="59"/>
      <c r="K40" s="60"/>
      <c r="L40" s="60"/>
      <c r="M40" s="60"/>
      <c r="N40" s="60"/>
      <c r="O40" s="60"/>
      <c r="P40" s="61"/>
      <c r="Q40" s="9"/>
      <c r="R40" s="59"/>
      <c r="S40" s="60"/>
      <c r="T40" s="60"/>
      <c r="U40" s="60"/>
      <c r="V40" s="60"/>
      <c r="W40" s="60"/>
      <c r="X40" s="61"/>
    </row>
    <row r="346" spans="18:24" x14ac:dyDescent="0.25">
      <c r="U346" s="67">
        <v>44531</v>
      </c>
      <c r="V346" s="67">
        <v>44896</v>
      </c>
      <c r="W346" s="67">
        <v>44897</v>
      </c>
      <c r="X346" s="67">
        <v>44898</v>
      </c>
    </row>
    <row r="347" spans="18:24" x14ac:dyDescent="0.25">
      <c r="R347" s="67">
        <v>44899</v>
      </c>
      <c r="S347" s="67">
        <v>44900</v>
      </c>
      <c r="T347" s="67">
        <v>44901</v>
      </c>
      <c r="U347" s="67">
        <v>44902</v>
      </c>
      <c r="V347" s="67">
        <v>44903</v>
      </c>
      <c r="W347" s="67">
        <v>44904</v>
      </c>
      <c r="X347" s="67">
        <v>44905</v>
      </c>
    </row>
    <row r="348" spans="18:24" x14ac:dyDescent="0.25">
      <c r="R348" s="67">
        <v>44906</v>
      </c>
      <c r="S348" s="67">
        <v>44907</v>
      </c>
      <c r="T348" s="67">
        <v>44908</v>
      </c>
      <c r="U348" s="67">
        <v>44909</v>
      </c>
      <c r="V348" s="67">
        <v>44910</v>
      </c>
      <c r="W348" s="67">
        <v>44911</v>
      </c>
      <c r="X348" s="67">
        <v>44912</v>
      </c>
    </row>
    <row r="349" spans="18:24" x14ac:dyDescent="0.25">
      <c r="R349" s="67">
        <v>44913</v>
      </c>
      <c r="S349" s="67">
        <v>44914</v>
      </c>
      <c r="T349" s="67">
        <v>44915</v>
      </c>
      <c r="U349" s="67">
        <v>44916</v>
      </c>
      <c r="V349" s="67">
        <v>44917</v>
      </c>
      <c r="W349" s="67">
        <v>44918</v>
      </c>
      <c r="X349" s="67">
        <v>44919</v>
      </c>
    </row>
    <row r="350" spans="18:24" x14ac:dyDescent="0.25">
      <c r="R350" s="67">
        <v>44920</v>
      </c>
      <c r="S350" s="67">
        <v>44921</v>
      </c>
      <c r="T350" s="67">
        <v>44922</v>
      </c>
      <c r="U350" s="67">
        <v>44923</v>
      </c>
      <c r="V350" s="67">
        <v>44924</v>
      </c>
      <c r="W350" s="67">
        <v>44925</v>
      </c>
      <c r="X350" s="67">
        <v>44926</v>
      </c>
    </row>
  </sheetData>
  <mergeCells count="14">
    <mergeCell ref="B2:X2"/>
    <mergeCell ref="B4:H4"/>
    <mergeCell ref="J4:P4"/>
    <mergeCell ref="R4:X4"/>
    <mergeCell ref="B13:H13"/>
    <mergeCell ref="J13:P13"/>
    <mergeCell ref="R13:X13"/>
    <mergeCell ref="B22:X22"/>
    <mergeCell ref="B24:H24"/>
    <mergeCell ref="J24:P24"/>
    <mergeCell ref="R24:X24"/>
    <mergeCell ref="B33:H33"/>
    <mergeCell ref="J33:P33"/>
    <mergeCell ref="R33:X33"/>
  </mergeCells>
  <conditionalFormatting sqref="B6:H11 R6:X10 J35:P39 B26:H31 J26:P31 R26:X31 B35:H40 R35:X40 J6:P11 R15:X20 J15:P20 B15:H20">
    <cfRule type="expression" dxfId="184" priority="520">
      <formula>IFERROR(INDEX(Indice_Categorias, B6-Fecha_Inicio+1),0)=7</formula>
    </cfRule>
    <cfRule type="expression" dxfId="183" priority="521">
      <formula>IFERROR(INDEX(Indice_Categorias, B6-Fecha_Inicio+1),0)=6</formula>
    </cfRule>
    <cfRule type="expression" dxfId="182" priority="522">
      <formula>IFERROR(INDEX(Indice_Categorias, B6-Fecha_Inicio+1),0)=5</formula>
    </cfRule>
    <cfRule type="expression" dxfId="181" priority="524">
      <formula>IFERROR(INDEX(Indice_Categorias, B6-Fecha_Inicio+1),0)=4</formula>
    </cfRule>
    <cfRule type="expression" dxfId="180" priority="525">
      <formula>IFERROR(INDEX(Indice_Categorias, B6-Fecha_Inicio+1),0)=3</formula>
    </cfRule>
    <cfRule type="expression" dxfId="179" priority="527">
      <formula>IFERROR(INDEX(Indice_Categorias, B6-Fecha_Inicio+1),0)=2</formula>
    </cfRule>
    <cfRule type="expression" dxfId="178" priority="528">
      <formula>IFERROR(INDEX(Indice_Categorias, B6-Fecha_Inicio+1),0)=1</formula>
    </cfRule>
  </conditionalFormatting>
  <conditionalFormatting sqref="J11:P11 O10:P10 J6:N6 S10:X10 O19:P19 S20:X20 J15:K15 B26 B31:H31 F30:H30 J26:M26 R31:X31 T30:X30 U39:X40 R40:T40 B40:H40 G39:H39 B35:C35 B6:D6 G10:H10 B11:H11 R15:X15 J31:P31 J39:P39 J20:P20 B15:H20">
    <cfRule type="expression" dxfId="177" priority="509">
      <formula>IFERROR(INDEX(DiasCategorias, B6-FechaInicio+1),0)=2</formula>
    </cfRule>
    <cfRule type="expression" dxfId="176" priority="510">
      <formula>IFERROR(INDEX(DiasCategorias, B6-FechaInicio+1),0)=3</formula>
    </cfRule>
    <cfRule type="expression" dxfId="175" priority="511">
      <formula>IFERROR(INDEX(DiasCategorias, B6-FechaInicio+1),0)=4</formula>
    </cfRule>
    <cfRule type="expression" dxfId="174" priority="512">
      <formula>IFERROR(INDEX(DiasCategorias, B6-FechaInicio+1),0)=5</formula>
    </cfRule>
    <cfRule type="expression" dxfId="173" priority="513">
      <formula>IFERROR(INDEX(DiasCategorias, B6-FechaInicio+1),0)=6</formula>
    </cfRule>
    <cfRule type="expression" dxfId="172" priority="514">
      <formula>IFERROR(INDEX(DiasCategorias, B6-FechaInicio+1),0)=7</formula>
    </cfRule>
    <cfRule type="expression" dxfId="171" priority="515">
      <formula>IFERROR(INDEX(DiasCategorias, B6-FechaInicio+1),0)=8</formula>
    </cfRule>
    <cfRule type="expression" dxfId="170" priority="516">
      <formula>IFERROR(INDEX(DiasCategorias, B6-FechaInicio+1),0)=9</formula>
    </cfRule>
    <cfRule type="expression" dxfId="169" priority="517">
      <formula>IFERROR(INDEX(DiasCategorias, B6-FechaInicio+1),0)=10</formula>
    </cfRule>
    <cfRule type="expression" dxfId="168" priority="518">
      <formula>IFERROR(INDEX(DiasCategorias, B6-FechaInicio+1),0)=11</formula>
    </cfRule>
    <cfRule type="expression" dxfId="167" priority="519">
      <formula>IFERROR(INDEX(DiasCategorias, B6-FechaInicio+1),0)=12</formula>
    </cfRule>
  </conditionalFormatting>
  <conditionalFormatting sqref="B6:H11 R6:X10 J35:P39 B26:H31 J26:P31 R26:X31 B35:H40 R35:X40 J6:P11 R15:X20 J15:P20 B15:H20">
    <cfRule type="expression" dxfId="166" priority="508">
      <formula>IFERROR(INDEX(DiasCategorias, B6-FechaInicio+1),0)=1</formula>
    </cfRule>
  </conditionalFormatting>
  <conditionalFormatting sqref="R11:X11">
    <cfRule type="expression" dxfId="165" priority="153">
      <formula>IFERROR(INDEX(Indice_Categorias, R11-Fecha_Inicio+1),0)=7</formula>
    </cfRule>
    <cfRule type="expression" dxfId="164" priority="154">
      <formula>IFERROR(INDEX(Indice_Categorias, R11-Fecha_Inicio+1),0)=6</formula>
    </cfRule>
    <cfRule type="expression" dxfId="163" priority="155">
      <formula>IFERROR(INDEX(Indice_Categorias, R11-Fecha_Inicio+1),0)=5</formula>
    </cfRule>
    <cfRule type="expression" dxfId="162" priority="156">
      <formula>IFERROR(INDEX(Indice_Categorias, R11-Fecha_Inicio+1),0)=4</formula>
    </cfRule>
    <cfRule type="expression" dxfId="161" priority="157">
      <formula>IFERROR(INDEX(Indice_Categorias, R11-Fecha_Inicio+1),0)=3</formula>
    </cfRule>
    <cfRule type="expression" dxfId="160" priority="158">
      <formula>IFERROR(INDEX(Indice_Categorias, R11-Fecha_Inicio+1),0)=2</formula>
    </cfRule>
    <cfRule type="expression" dxfId="159" priority="159">
      <formula>IFERROR(INDEX(Indice_Categorias, R11-Fecha_Inicio+1),0)=1</formula>
    </cfRule>
  </conditionalFormatting>
  <conditionalFormatting sqref="R11:X11">
    <cfRule type="expression" dxfId="158" priority="142">
      <formula>IFERROR(INDEX(DiasCategorias, R11-FechaInicio+1),0)=2</formula>
    </cfRule>
    <cfRule type="expression" dxfId="157" priority="143">
      <formula>IFERROR(INDEX(DiasCategorias, R11-FechaInicio+1),0)=3</formula>
    </cfRule>
    <cfRule type="expression" dxfId="156" priority="144">
      <formula>IFERROR(INDEX(DiasCategorias, R11-FechaInicio+1),0)=4</formula>
    </cfRule>
    <cfRule type="expression" dxfId="155" priority="145">
      <formula>IFERROR(INDEX(DiasCategorias, R11-FechaInicio+1),0)=5</formula>
    </cfRule>
    <cfRule type="expression" dxfId="154" priority="146">
      <formula>IFERROR(INDEX(DiasCategorias, R11-FechaInicio+1),0)=6</formula>
    </cfRule>
    <cfRule type="expression" dxfId="153" priority="147">
      <formula>IFERROR(INDEX(DiasCategorias, R11-FechaInicio+1),0)=7</formula>
    </cfRule>
    <cfRule type="expression" dxfId="152" priority="148">
      <formula>IFERROR(INDEX(DiasCategorias, R11-FechaInicio+1),0)=8</formula>
    </cfRule>
    <cfRule type="expression" dxfId="151" priority="149">
      <formula>IFERROR(INDEX(DiasCategorias, R11-FechaInicio+1),0)=9</formula>
    </cfRule>
    <cfRule type="expression" dxfId="150" priority="150">
      <formula>IFERROR(INDEX(DiasCategorias, R11-FechaInicio+1),0)=10</formula>
    </cfRule>
    <cfRule type="expression" dxfId="149" priority="151">
      <formula>IFERROR(INDEX(DiasCategorias, R11-FechaInicio+1),0)=11</formula>
    </cfRule>
    <cfRule type="expression" dxfId="148" priority="152">
      <formula>IFERROR(INDEX(DiasCategorias, R11-FechaInicio+1),0)=12</formula>
    </cfRule>
  </conditionalFormatting>
  <conditionalFormatting sqref="R11:X11">
    <cfRule type="expression" dxfId="147" priority="141">
      <formula>IFERROR(INDEX(DiasCategorias, R11-FechaInicio+1),0)=1</formula>
    </cfRule>
  </conditionalFormatting>
  <conditionalFormatting sqref="J40:P40">
    <cfRule type="expression" dxfId="146" priority="134">
      <formula>IFERROR(INDEX(Indice_Categorias, J40-Fecha_Inicio+1),0)=7</formula>
    </cfRule>
    <cfRule type="expression" dxfId="145" priority="135">
      <formula>IFERROR(INDEX(Indice_Categorias, J40-Fecha_Inicio+1),0)=6</formula>
    </cfRule>
    <cfRule type="expression" dxfId="144" priority="136">
      <formula>IFERROR(INDEX(Indice_Categorias, J40-Fecha_Inicio+1),0)=5</formula>
    </cfRule>
    <cfRule type="expression" dxfId="143" priority="137">
      <formula>IFERROR(INDEX(Indice_Categorias, J40-Fecha_Inicio+1),0)=4</formula>
    </cfRule>
    <cfRule type="expression" dxfId="142" priority="138">
      <formula>IFERROR(INDEX(Indice_Categorias, J40-Fecha_Inicio+1),0)=3</formula>
    </cfRule>
    <cfRule type="expression" dxfId="141" priority="139">
      <formula>IFERROR(INDEX(Indice_Categorias, J40-Fecha_Inicio+1),0)=2</formula>
    </cfRule>
    <cfRule type="expression" dxfId="140" priority="140">
      <formula>IFERROR(INDEX(Indice_Categorias, J40-Fecha_Inicio+1),0)=1</formula>
    </cfRule>
  </conditionalFormatting>
  <conditionalFormatting sqref="J40:P40">
    <cfRule type="expression" dxfId="139" priority="123">
      <formula>IFERROR(INDEX(DiasCategorias, J40-FechaInicio+1),0)=2</formula>
    </cfRule>
    <cfRule type="expression" dxfId="138" priority="124">
      <formula>IFERROR(INDEX(DiasCategorias, J40-FechaInicio+1),0)=3</formula>
    </cfRule>
    <cfRule type="expression" dxfId="137" priority="125">
      <formula>IFERROR(INDEX(DiasCategorias, J40-FechaInicio+1),0)=4</formula>
    </cfRule>
    <cfRule type="expression" dxfId="136" priority="126">
      <formula>IFERROR(INDEX(DiasCategorias, J40-FechaInicio+1),0)=5</formula>
    </cfRule>
    <cfRule type="expression" dxfId="135" priority="127">
      <formula>IFERROR(INDEX(DiasCategorias, J40-FechaInicio+1),0)=6</formula>
    </cfRule>
    <cfRule type="expression" dxfId="134" priority="128">
      <formula>IFERROR(INDEX(DiasCategorias, J40-FechaInicio+1),0)=7</formula>
    </cfRule>
    <cfRule type="expression" dxfId="133" priority="129">
      <formula>IFERROR(INDEX(DiasCategorias, J40-FechaInicio+1),0)=8</formula>
    </cfRule>
    <cfRule type="expression" dxfId="132" priority="130">
      <formula>IFERROR(INDEX(DiasCategorias, J40-FechaInicio+1),0)=9</formula>
    </cfRule>
    <cfRule type="expression" dxfId="131" priority="131">
      <formula>IFERROR(INDEX(DiasCategorias, J40-FechaInicio+1),0)=10</formula>
    </cfRule>
    <cfRule type="expression" dxfId="130" priority="132">
      <formula>IFERROR(INDEX(DiasCategorias, J40-FechaInicio+1),0)=11</formula>
    </cfRule>
    <cfRule type="expression" dxfId="129" priority="133">
      <formula>IFERROR(INDEX(DiasCategorias, J40-FechaInicio+1),0)=12</formula>
    </cfRule>
  </conditionalFormatting>
  <conditionalFormatting sqref="J40:P40">
    <cfRule type="expression" dxfId="128" priority="122">
      <formula>IFERROR(INDEX(DiasCategorias, J40-FechaInicio+1),0)=1</formula>
    </cfRule>
  </conditionalFormatting>
  <conditionalFormatting sqref="C26:D26">
    <cfRule type="expression" dxfId="127" priority="111">
      <formula>IFERROR(INDEX(DiasCategorias, C26-FechaInicio+1),0)=2</formula>
    </cfRule>
    <cfRule type="expression" dxfId="126" priority="112">
      <formula>IFERROR(INDEX(DiasCategorias, C26-FechaInicio+1),0)=3</formula>
    </cfRule>
    <cfRule type="expression" dxfId="125" priority="113">
      <formula>IFERROR(INDEX(DiasCategorias, C26-FechaInicio+1),0)=4</formula>
    </cfRule>
    <cfRule type="expression" dxfId="124" priority="114">
      <formula>IFERROR(INDEX(DiasCategorias, C26-FechaInicio+1),0)=5</formula>
    </cfRule>
    <cfRule type="expression" dxfId="123" priority="115">
      <formula>IFERROR(INDEX(DiasCategorias, C26-FechaInicio+1),0)=6</formula>
    </cfRule>
    <cfRule type="expression" dxfId="122" priority="116">
      <formula>IFERROR(INDEX(DiasCategorias, C26-FechaInicio+1),0)=7</formula>
    </cfRule>
    <cfRule type="expression" dxfId="121" priority="117">
      <formula>IFERROR(INDEX(DiasCategorias, C26-FechaInicio+1),0)=8</formula>
    </cfRule>
    <cfRule type="expression" dxfId="120" priority="118">
      <formula>IFERROR(INDEX(DiasCategorias, C26-FechaInicio+1),0)=9</formula>
    </cfRule>
    <cfRule type="expression" dxfId="119" priority="119">
      <formula>IFERROR(INDEX(DiasCategorias, C26-FechaInicio+1),0)=10</formula>
    </cfRule>
    <cfRule type="expression" dxfId="118" priority="120">
      <formula>IFERROR(INDEX(DiasCategorias, C26-FechaInicio+1),0)=11</formula>
    </cfRule>
    <cfRule type="expression" dxfId="117" priority="121">
      <formula>IFERROR(INDEX(DiasCategorias, C26-FechaInicio+1),0)=12</formula>
    </cfRule>
  </conditionalFormatting>
  <conditionalFormatting sqref="N26:O26">
    <cfRule type="expression" dxfId="116" priority="100">
      <formula>IFERROR(INDEX(DiasCategorias, N26-FechaInicio+1),0)=2</formula>
    </cfRule>
    <cfRule type="expression" dxfId="115" priority="101">
      <formula>IFERROR(INDEX(DiasCategorias, N26-FechaInicio+1),0)=3</formula>
    </cfRule>
    <cfRule type="expression" dxfId="114" priority="102">
      <formula>IFERROR(INDEX(DiasCategorias, N26-FechaInicio+1),0)=4</formula>
    </cfRule>
    <cfRule type="expression" dxfId="113" priority="103">
      <formula>IFERROR(INDEX(DiasCategorias, N26-FechaInicio+1),0)=5</formula>
    </cfRule>
    <cfRule type="expression" dxfId="112" priority="104">
      <formula>IFERROR(INDEX(DiasCategorias, N26-FechaInicio+1),0)=6</formula>
    </cfRule>
    <cfRule type="expression" dxfId="111" priority="105">
      <formula>IFERROR(INDEX(DiasCategorias, N26-FechaInicio+1),0)=7</formula>
    </cfRule>
    <cfRule type="expression" dxfId="110" priority="106">
      <formula>IFERROR(INDEX(DiasCategorias, N26-FechaInicio+1),0)=8</formula>
    </cfRule>
    <cfRule type="expression" dxfId="109" priority="107">
      <formula>IFERROR(INDEX(DiasCategorias, N26-FechaInicio+1),0)=9</formula>
    </cfRule>
    <cfRule type="expression" dxfId="108" priority="108">
      <formula>IFERROR(INDEX(DiasCategorias, N26-FechaInicio+1),0)=10</formula>
    </cfRule>
    <cfRule type="expression" dxfId="107" priority="109">
      <formula>IFERROR(INDEX(DiasCategorias, N26-FechaInicio+1),0)=11</formula>
    </cfRule>
    <cfRule type="expression" dxfId="106" priority="110">
      <formula>IFERROR(INDEX(DiasCategorias, N26-FechaInicio+1),0)=12</formula>
    </cfRule>
  </conditionalFormatting>
  <conditionalFormatting sqref="R26:S26">
    <cfRule type="expression" dxfId="105" priority="89">
      <formula>IFERROR(INDEX(DiasCategorias, R26-FechaInicio+1),0)=2</formula>
    </cfRule>
    <cfRule type="expression" dxfId="104" priority="90">
      <formula>IFERROR(INDEX(DiasCategorias, R26-FechaInicio+1),0)=3</formula>
    </cfRule>
    <cfRule type="expression" dxfId="103" priority="91">
      <formula>IFERROR(INDEX(DiasCategorias, R26-FechaInicio+1),0)=4</formula>
    </cfRule>
    <cfRule type="expression" dxfId="102" priority="92">
      <formula>IFERROR(INDEX(DiasCategorias, R26-FechaInicio+1),0)=5</formula>
    </cfRule>
    <cfRule type="expression" dxfId="101" priority="93">
      <formula>IFERROR(INDEX(DiasCategorias, R26-FechaInicio+1),0)=6</formula>
    </cfRule>
    <cfRule type="expression" dxfId="100" priority="94">
      <formula>IFERROR(INDEX(DiasCategorias, R26-FechaInicio+1),0)=7</formula>
    </cfRule>
    <cfRule type="expression" dxfId="99" priority="95">
      <formula>IFERROR(INDEX(DiasCategorias, R26-FechaInicio+1),0)=8</formula>
    </cfRule>
    <cfRule type="expression" dxfId="98" priority="96">
      <formula>IFERROR(INDEX(DiasCategorias, R26-FechaInicio+1),0)=9</formula>
    </cfRule>
    <cfRule type="expression" dxfId="97" priority="97">
      <formula>IFERROR(INDEX(DiasCategorias, R26-FechaInicio+1),0)=10</formula>
    </cfRule>
    <cfRule type="expression" dxfId="96" priority="98">
      <formula>IFERROR(INDEX(DiasCategorias, R26-FechaInicio+1),0)=11</formula>
    </cfRule>
    <cfRule type="expression" dxfId="95" priority="99">
      <formula>IFERROR(INDEX(DiasCategorias, R26-FechaInicio+1),0)=12</formula>
    </cfRule>
  </conditionalFormatting>
  <conditionalFormatting sqref="D35:E35">
    <cfRule type="expression" dxfId="94" priority="78">
      <formula>IFERROR(INDEX(DiasCategorias, D35-FechaInicio+1),0)=2</formula>
    </cfRule>
    <cfRule type="expression" dxfId="93" priority="79">
      <formula>IFERROR(INDEX(DiasCategorias, D35-FechaInicio+1),0)=3</formula>
    </cfRule>
    <cfRule type="expression" dxfId="92" priority="80">
      <formula>IFERROR(INDEX(DiasCategorias, D35-FechaInicio+1),0)=4</formula>
    </cfRule>
    <cfRule type="expression" dxfId="91" priority="81">
      <formula>IFERROR(INDEX(DiasCategorias, D35-FechaInicio+1),0)=5</formula>
    </cfRule>
    <cfRule type="expression" dxfId="90" priority="82">
      <formula>IFERROR(INDEX(DiasCategorias, D35-FechaInicio+1),0)=6</formula>
    </cfRule>
    <cfRule type="expression" dxfId="89" priority="83">
      <formula>IFERROR(INDEX(DiasCategorias, D35-FechaInicio+1),0)=7</formula>
    </cfRule>
    <cfRule type="expression" dxfId="88" priority="84">
      <formula>IFERROR(INDEX(DiasCategorias, D35-FechaInicio+1),0)=8</formula>
    </cfRule>
    <cfRule type="expression" dxfId="87" priority="85">
      <formula>IFERROR(INDEX(DiasCategorias, D35-FechaInicio+1),0)=9</formula>
    </cfRule>
    <cfRule type="expression" dxfId="86" priority="86">
      <formula>IFERROR(INDEX(DiasCategorias, D35-FechaInicio+1),0)=10</formula>
    </cfRule>
    <cfRule type="expression" dxfId="85" priority="87">
      <formula>IFERROR(INDEX(DiasCategorias, D35-FechaInicio+1),0)=11</formula>
    </cfRule>
    <cfRule type="expression" dxfId="84" priority="88">
      <formula>IFERROR(INDEX(DiasCategorias, D35-FechaInicio+1),0)=12</formula>
    </cfRule>
  </conditionalFormatting>
  <conditionalFormatting sqref="R35:S35">
    <cfRule type="expression" dxfId="83" priority="67">
      <formula>IFERROR(INDEX(DiasCategorias, R35-FechaInicio+1),0)=2</formula>
    </cfRule>
    <cfRule type="expression" dxfId="82" priority="68">
      <formula>IFERROR(INDEX(DiasCategorias, R35-FechaInicio+1),0)=3</formula>
    </cfRule>
    <cfRule type="expression" dxfId="81" priority="69">
      <formula>IFERROR(INDEX(DiasCategorias, R35-FechaInicio+1),0)=4</formula>
    </cfRule>
    <cfRule type="expression" dxfId="80" priority="70">
      <formula>IFERROR(INDEX(DiasCategorias, R35-FechaInicio+1),0)=5</formula>
    </cfRule>
    <cfRule type="expression" dxfId="79" priority="71">
      <formula>IFERROR(INDEX(DiasCategorias, R35-FechaInicio+1),0)=6</formula>
    </cfRule>
    <cfRule type="expression" dxfId="78" priority="72">
      <formula>IFERROR(INDEX(DiasCategorias, R35-FechaInicio+1),0)=7</formula>
    </cfRule>
    <cfRule type="expression" dxfId="77" priority="73">
      <formula>IFERROR(INDEX(DiasCategorias, R35-FechaInicio+1),0)=8</formula>
    </cfRule>
    <cfRule type="expression" dxfId="76" priority="74">
      <formula>IFERROR(INDEX(DiasCategorias, R35-FechaInicio+1),0)=9</formula>
    </cfRule>
    <cfRule type="expression" dxfId="75" priority="75">
      <formula>IFERROR(INDEX(DiasCategorias, R35-FechaInicio+1),0)=10</formula>
    </cfRule>
    <cfRule type="expression" dxfId="74" priority="76">
      <formula>IFERROR(INDEX(DiasCategorias, R35-FechaInicio+1),0)=11</formula>
    </cfRule>
    <cfRule type="expression" dxfId="73" priority="77">
      <formula>IFERROR(INDEX(DiasCategorias, R35-FechaInicio+1),0)=12</formula>
    </cfRule>
  </conditionalFormatting>
  <conditionalFormatting sqref="C15:D15">
    <cfRule type="expression" dxfId="72" priority="56">
      <formula>IFERROR(INDEX(DiasCategorias, C15-FechaInicio+1),0)=2</formula>
    </cfRule>
    <cfRule type="expression" dxfId="71" priority="57">
      <formula>IFERROR(INDEX(DiasCategorias, C15-FechaInicio+1),0)=3</formula>
    </cfRule>
    <cfRule type="expression" dxfId="70" priority="58">
      <formula>IFERROR(INDEX(DiasCategorias, C15-FechaInicio+1),0)=4</formula>
    </cfRule>
    <cfRule type="expression" dxfId="69" priority="59">
      <formula>IFERROR(INDEX(DiasCategorias, C15-FechaInicio+1),0)=5</formula>
    </cfRule>
    <cfRule type="expression" dxfId="68" priority="60">
      <formula>IFERROR(INDEX(DiasCategorias, C15-FechaInicio+1),0)=6</formula>
    </cfRule>
    <cfRule type="expression" dxfId="67" priority="61">
      <formula>IFERROR(INDEX(DiasCategorias, C15-FechaInicio+1),0)=7</formula>
    </cfRule>
    <cfRule type="expression" dxfId="66" priority="62">
      <formula>IFERROR(INDEX(DiasCategorias, C15-FechaInicio+1),0)=8</formula>
    </cfRule>
    <cfRule type="expression" dxfId="65" priority="63">
      <formula>IFERROR(INDEX(DiasCategorias, C15-FechaInicio+1),0)=9</formula>
    </cfRule>
    <cfRule type="expression" dxfId="64" priority="64">
      <formula>IFERROR(INDEX(DiasCategorias, C15-FechaInicio+1),0)=10</formula>
    </cfRule>
    <cfRule type="expression" dxfId="63" priority="65">
      <formula>IFERROR(INDEX(DiasCategorias, C15-FechaInicio+1),0)=11</formula>
    </cfRule>
    <cfRule type="expression" dxfId="62" priority="66">
      <formula>IFERROR(INDEX(DiasCategorias, C15-FechaInicio+1),0)=12</formula>
    </cfRule>
  </conditionalFormatting>
  <conditionalFormatting sqref="O6">
    <cfRule type="expression" dxfId="61" priority="45">
      <formula>IFERROR(INDEX(DiasCategorias, O6-FechaInicio+1),0)=2</formula>
    </cfRule>
    <cfRule type="expression" dxfId="60" priority="46">
      <formula>IFERROR(INDEX(DiasCategorias, O6-FechaInicio+1),0)=3</formula>
    </cfRule>
    <cfRule type="expression" dxfId="59" priority="47">
      <formula>IFERROR(INDEX(DiasCategorias, O6-FechaInicio+1),0)=4</formula>
    </cfRule>
    <cfRule type="expression" dxfId="58" priority="48">
      <formula>IFERROR(INDEX(DiasCategorias, O6-FechaInicio+1),0)=5</formula>
    </cfRule>
    <cfRule type="expression" dxfId="57" priority="49">
      <formula>IFERROR(INDEX(DiasCategorias, O6-FechaInicio+1),0)=6</formula>
    </cfRule>
    <cfRule type="expression" dxfId="56" priority="50">
      <formula>IFERROR(INDEX(DiasCategorias, O6-FechaInicio+1),0)=7</formula>
    </cfRule>
    <cfRule type="expression" dxfId="55" priority="51">
      <formula>IFERROR(INDEX(DiasCategorias, O6-FechaInicio+1),0)=8</formula>
    </cfRule>
    <cfRule type="expression" dxfId="54" priority="52">
      <formula>IFERROR(INDEX(DiasCategorias, O6-FechaInicio+1),0)=9</formula>
    </cfRule>
    <cfRule type="expression" dxfId="53" priority="53">
      <formula>IFERROR(INDEX(DiasCategorias, O6-FechaInicio+1),0)=10</formula>
    </cfRule>
    <cfRule type="expression" dxfId="52" priority="54">
      <formula>IFERROR(INDEX(DiasCategorias, O6-FechaInicio+1),0)=11</formula>
    </cfRule>
    <cfRule type="expression" dxfId="51" priority="55">
      <formula>IFERROR(INDEX(DiasCategorias, O6-FechaInicio+1),0)=12</formula>
    </cfRule>
  </conditionalFormatting>
  <conditionalFormatting sqref="U19">
    <cfRule type="expression" dxfId="50" priority="34">
      <formula>IFERROR(INDEX(DiasCategorias, U19-FechaInicio+1),0)=2</formula>
    </cfRule>
    <cfRule type="expression" dxfId="49" priority="35">
      <formula>IFERROR(INDEX(DiasCategorias, U19-FechaInicio+1),0)=3</formula>
    </cfRule>
    <cfRule type="expression" dxfId="48" priority="36">
      <formula>IFERROR(INDEX(DiasCategorias, U19-FechaInicio+1),0)=4</formula>
    </cfRule>
    <cfRule type="expression" dxfId="47" priority="37">
      <formula>IFERROR(INDEX(DiasCategorias, U19-FechaInicio+1),0)=5</formula>
    </cfRule>
    <cfRule type="expression" dxfId="46" priority="38">
      <formula>IFERROR(INDEX(DiasCategorias, U19-FechaInicio+1),0)=6</formula>
    </cfRule>
    <cfRule type="expression" dxfId="45" priority="39">
      <formula>IFERROR(INDEX(DiasCategorias, U19-FechaInicio+1),0)=7</formula>
    </cfRule>
    <cfRule type="expression" dxfId="44" priority="40">
      <formula>IFERROR(INDEX(DiasCategorias, U19-FechaInicio+1),0)=8</formula>
    </cfRule>
    <cfRule type="expression" dxfId="43" priority="41">
      <formula>IFERROR(INDEX(DiasCategorias, U19-FechaInicio+1),0)=9</formula>
    </cfRule>
    <cfRule type="expression" dxfId="42" priority="42">
      <formula>IFERROR(INDEX(DiasCategorias, U19-FechaInicio+1),0)=10</formula>
    </cfRule>
    <cfRule type="expression" dxfId="41" priority="43">
      <formula>IFERROR(INDEX(DiasCategorias, U19-FechaInicio+1),0)=11</formula>
    </cfRule>
    <cfRule type="expression" dxfId="40" priority="44">
      <formula>IFERROR(INDEX(DiasCategorias, U19-FechaInicio+1),0)=12</formula>
    </cfRule>
  </conditionalFormatting>
  <conditionalFormatting sqref="R20">
    <cfRule type="expression" dxfId="39" priority="23">
      <formula>IFERROR(INDEX(DiasCategorias, R20-FechaInicio+1),0)=2</formula>
    </cfRule>
    <cfRule type="expression" dxfId="38" priority="24">
      <formula>IFERROR(INDEX(DiasCategorias, R20-FechaInicio+1),0)=3</formula>
    </cfRule>
    <cfRule type="expression" dxfId="37" priority="25">
      <formula>IFERROR(INDEX(DiasCategorias, R20-FechaInicio+1),0)=4</formula>
    </cfRule>
    <cfRule type="expression" dxfId="36" priority="26">
      <formula>IFERROR(INDEX(DiasCategorias, R20-FechaInicio+1),0)=5</formula>
    </cfRule>
    <cfRule type="expression" dxfId="35" priority="27">
      <formula>IFERROR(INDEX(DiasCategorias, R20-FechaInicio+1),0)=6</formula>
    </cfRule>
    <cfRule type="expression" dxfId="34" priority="28">
      <formula>IFERROR(INDEX(DiasCategorias, R20-FechaInicio+1),0)=7</formula>
    </cfRule>
    <cfRule type="expression" dxfId="33" priority="29">
      <formula>IFERROR(INDEX(DiasCategorias, R20-FechaInicio+1),0)=8</formula>
    </cfRule>
    <cfRule type="expression" dxfId="32" priority="30">
      <formula>IFERROR(INDEX(DiasCategorias, R20-FechaInicio+1),0)=9</formula>
    </cfRule>
    <cfRule type="expression" dxfId="31" priority="31">
      <formula>IFERROR(INDEX(DiasCategorias, R20-FechaInicio+1),0)=10</formula>
    </cfRule>
    <cfRule type="expression" dxfId="30" priority="32">
      <formula>IFERROR(INDEX(DiasCategorias, R20-FechaInicio+1),0)=11</formula>
    </cfRule>
    <cfRule type="expression" dxfId="29" priority="33">
      <formula>IFERROR(INDEX(DiasCategorias, R20-FechaInicio+1),0)=12</formula>
    </cfRule>
  </conditionalFormatting>
  <conditionalFormatting sqref="V19:X19">
    <cfRule type="expression" dxfId="28" priority="12">
      <formula>IFERROR(INDEX(DiasCategorias, V19-FechaInicio+1),0)=2</formula>
    </cfRule>
    <cfRule type="expression" dxfId="27" priority="13">
      <formula>IFERROR(INDEX(DiasCategorias, V19-FechaInicio+1),0)=3</formula>
    </cfRule>
    <cfRule type="expression" dxfId="26" priority="14">
      <formula>IFERROR(INDEX(DiasCategorias, V19-FechaInicio+1),0)=4</formula>
    </cfRule>
    <cfRule type="expression" dxfId="25" priority="15">
      <formula>IFERROR(INDEX(DiasCategorias, V19-FechaInicio+1),0)=5</formula>
    </cfRule>
    <cfRule type="expression" dxfId="24" priority="16">
      <formula>IFERROR(INDEX(DiasCategorias, V19-FechaInicio+1),0)=6</formula>
    </cfRule>
    <cfRule type="expression" dxfId="23" priority="17">
      <formula>IFERROR(INDEX(DiasCategorias, V19-FechaInicio+1),0)=7</formula>
    </cfRule>
    <cfRule type="expression" dxfId="22" priority="18">
      <formula>IFERROR(INDEX(DiasCategorias, V19-FechaInicio+1),0)=8</formula>
    </cfRule>
    <cfRule type="expression" dxfId="21" priority="19">
      <formula>IFERROR(INDEX(DiasCategorias, V19-FechaInicio+1),0)=9</formula>
    </cfRule>
    <cfRule type="expression" dxfId="20" priority="20">
      <formula>IFERROR(INDEX(DiasCategorias, V19-FechaInicio+1),0)=10</formula>
    </cfRule>
    <cfRule type="expression" dxfId="19" priority="21">
      <formula>IFERROR(INDEX(DiasCategorias, V19-FechaInicio+1),0)=11</formula>
    </cfRule>
    <cfRule type="expression" dxfId="18" priority="22">
      <formula>IFERROR(INDEX(DiasCategorias, V19-FechaInicio+1),0)=12</formula>
    </cfRule>
  </conditionalFormatting>
  <conditionalFormatting sqref="L15:N15">
    <cfRule type="expression" dxfId="17" priority="1">
      <formula>IFERROR(INDEX(DiasCategorias, L15-FechaInicio+1),0)=2</formula>
    </cfRule>
    <cfRule type="expression" dxfId="16" priority="2">
      <formula>IFERROR(INDEX(DiasCategorias, L15-FechaInicio+1),0)=3</formula>
    </cfRule>
    <cfRule type="expression" dxfId="15" priority="3">
      <formula>IFERROR(INDEX(DiasCategorias, L15-FechaInicio+1),0)=4</formula>
    </cfRule>
    <cfRule type="expression" dxfId="14" priority="4">
      <formula>IFERROR(INDEX(DiasCategorias, L15-FechaInicio+1),0)=5</formula>
    </cfRule>
    <cfRule type="expression" dxfId="13" priority="5">
      <formula>IFERROR(INDEX(DiasCategorias, L15-FechaInicio+1),0)=6</formula>
    </cfRule>
    <cfRule type="expression" dxfId="12" priority="6">
      <formula>IFERROR(INDEX(DiasCategorias, L15-FechaInicio+1),0)=7</formula>
    </cfRule>
    <cfRule type="expression" dxfId="11" priority="7">
      <formula>IFERROR(INDEX(DiasCategorias, L15-FechaInicio+1),0)=8</formula>
    </cfRule>
    <cfRule type="expression" dxfId="10" priority="8">
      <formula>IFERROR(INDEX(DiasCategorias, L15-FechaInicio+1),0)=9</formula>
    </cfRule>
    <cfRule type="expression" dxfId="9" priority="9">
      <formula>IFERROR(INDEX(DiasCategorias, L15-FechaInicio+1),0)=10</formula>
    </cfRule>
    <cfRule type="expression" dxfId="8" priority="10">
      <formula>IFERROR(INDEX(DiasCategorias, L15-FechaInicio+1),0)=11</formula>
    </cfRule>
    <cfRule type="expression" dxfId="7" priority="11">
      <formula>IFERROR(INDEX(DiasCategorias, L15-FechaInicio+1),0)=12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25</xdr:col>
                <xdr:colOff>38100</xdr:colOff>
                <xdr:row>1</xdr:row>
                <xdr:rowOff>76200</xdr:rowOff>
              </from>
              <to>
                <xdr:col>27</xdr:col>
                <xdr:colOff>819150</xdr:colOff>
                <xdr:row>1</xdr:row>
                <xdr:rowOff>381000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XEX367"/>
  <sheetViews>
    <sheetView showGridLines="0" workbookViewId="0">
      <pane ySplit="1" topLeftCell="A2" activePane="bottomLeft" state="frozen"/>
      <selection pane="bottomLeft" activeCell="A2" sqref="A2:A367"/>
    </sheetView>
  </sheetViews>
  <sheetFormatPr baseColWidth="10" defaultColWidth="11.42578125" defaultRowHeight="15" zeroHeight="1" x14ac:dyDescent="0.25"/>
  <cols>
    <col min="1" max="1" width="33.85546875" style="30" bestFit="1" customWidth="1"/>
    <col min="2" max="2" width="50.7109375" style="32" customWidth="1"/>
    <col min="3" max="3" width="9.5703125" style="30" hidden="1" customWidth="1"/>
    <col min="4" max="4" width="11.42578125" style="27" customWidth="1"/>
    <col min="5" max="16372" width="11.42578125" style="27"/>
    <col min="16373" max="16373" width="9.7109375" style="27" customWidth="1"/>
    <col min="16374" max="16374" width="7.7109375" style="27" customWidth="1"/>
    <col min="16375" max="16375" width="9" style="27" customWidth="1"/>
    <col min="16376" max="16376" width="6.140625" style="27" customWidth="1"/>
    <col min="16377" max="16377" width="7.7109375" style="27" customWidth="1"/>
    <col min="16378" max="16378" width="37.28515625" style="27" bestFit="1" customWidth="1"/>
    <col min="16379" max="16384" width="37.28515625" style="27" customWidth="1"/>
  </cols>
  <sheetData>
    <row r="1" spans="1:3 16378:16378" ht="15.75" x14ac:dyDescent="0.25">
      <c r="A1" s="33" t="s">
        <v>7</v>
      </c>
      <c r="B1" s="34" t="s">
        <v>8</v>
      </c>
      <c r="C1" s="26" t="s">
        <v>19</v>
      </c>
    </row>
    <row r="2" spans="1:3 16378:16378" x14ac:dyDescent="0.25">
      <c r="A2" s="68">
        <v>44197</v>
      </c>
      <c r="B2" s="28" t="s">
        <v>18</v>
      </c>
      <c r="C2" s="29">
        <f>IFERROR(INDEX(Id_Categorias, MATCH(B2,Categorias,0)),"Sin Cierre")</f>
        <v>7</v>
      </c>
      <c r="XEX2" s="27" t="str">
        <f t="shared" ref="XEX2:XEX12" si="0">IFERROR(INDEX(Categorias_Comentarios, A2-Fecha_Inicio+1),)</f>
        <v>Sin Cierre</v>
      </c>
    </row>
    <row r="3" spans="1:3 16378:16378" x14ac:dyDescent="0.25">
      <c r="A3" s="68">
        <v>44198</v>
      </c>
      <c r="B3" s="28" t="s">
        <v>17</v>
      </c>
      <c r="C3" s="29">
        <f>IFERROR(INDEX(Id_Categorias, MATCH(B3,Categorias,0)),"Sin Cierre")</f>
        <v>6</v>
      </c>
      <c r="XEX3" s="27" t="str">
        <f t="shared" si="0"/>
        <v>Cierre Total de Free Sales y Ventas B2B</v>
      </c>
    </row>
    <row r="4" spans="1:3 16378:16378" x14ac:dyDescent="0.25">
      <c r="A4" s="68">
        <v>44199</v>
      </c>
      <c r="B4" s="28"/>
      <c r="C4" s="29" t="str">
        <f>IFERROR(INDEX(Id_Categorias, MATCH(B4,Categorias,0)),"Sin Cierre")</f>
        <v>Sin Cierre</v>
      </c>
      <c r="XEX4" s="27">
        <f t="shared" si="0"/>
        <v>0</v>
      </c>
    </row>
    <row r="5" spans="1:3 16378:16378" x14ac:dyDescent="0.25">
      <c r="A5" s="68">
        <v>44200</v>
      </c>
      <c r="B5" s="28"/>
      <c r="C5" s="29" t="str">
        <f>IFERROR(INDEX(Id_Categorias, MATCH(B5,Categorias,0)),"Sin Cierre")</f>
        <v>Sin Cierre</v>
      </c>
      <c r="XEX5" s="27">
        <f t="shared" si="0"/>
        <v>0</v>
      </c>
    </row>
    <row r="6" spans="1:3 16378:16378" x14ac:dyDescent="0.25">
      <c r="A6" s="68">
        <v>44201</v>
      </c>
      <c r="B6" s="28"/>
      <c r="C6" s="29" t="str">
        <f>IFERROR(INDEX(Id_Categorias, MATCH(B6,Categorias,0)),"Sin Cierre")</f>
        <v>Sin Cierre</v>
      </c>
      <c r="XEX6" s="27">
        <f t="shared" si="0"/>
        <v>0</v>
      </c>
    </row>
    <row r="7" spans="1:3 16378:16378" x14ac:dyDescent="0.25">
      <c r="A7" s="68">
        <v>44202</v>
      </c>
      <c r="B7" s="28"/>
      <c r="C7" s="29" t="str">
        <f>IFERROR(INDEX(Id_Categorias, MATCH(B7,Categorias,0)),"Sin Cierre")</f>
        <v>Sin Cierre</v>
      </c>
      <c r="XEX7" s="27">
        <f t="shared" si="0"/>
        <v>0</v>
      </c>
    </row>
    <row r="8" spans="1:3 16378:16378" x14ac:dyDescent="0.25">
      <c r="A8" s="68">
        <v>44203</v>
      </c>
      <c r="B8" s="28"/>
      <c r="C8" s="29" t="str">
        <f>IFERROR(INDEX(Id_Categorias, MATCH(B8,Categorias,0)),"Sin Cierre")</f>
        <v>Sin Cierre</v>
      </c>
      <c r="XEX8" s="27">
        <f t="shared" si="0"/>
        <v>0</v>
      </c>
    </row>
    <row r="9" spans="1:3 16378:16378" x14ac:dyDescent="0.25">
      <c r="A9" s="68">
        <v>44204</v>
      </c>
      <c r="B9" s="28"/>
      <c r="C9" s="29" t="str">
        <f>IFERROR(INDEX(Id_Categorias, MATCH(B9,Categorias,0)),"Sin Cierre")</f>
        <v>Sin Cierre</v>
      </c>
      <c r="XEX9" s="27">
        <f t="shared" si="0"/>
        <v>0</v>
      </c>
    </row>
    <row r="10" spans="1:3 16378:16378" x14ac:dyDescent="0.25">
      <c r="A10" s="68">
        <v>44205</v>
      </c>
      <c r="B10" s="28"/>
      <c r="C10" s="29" t="str">
        <f>IFERROR(INDEX(Id_Categorias, MATCH(B10,Categorias,0)),"Sin Cierre")</f>
        <v>Sin Cierre</v>
      </c>
      <c r="XEX10" s="27">
        <f t="shared" si="0"/>
        <v>0</v>
      </c>
    </row>
    <row r="11" spans="1:3 16378:16378" x14ac:dyDescent="0.25">
      <c r="A11" s="68">
        <v>44206</v>
      </c>
      <c r="B11" s="28"/>
      <c r="C11" s="29" t="str">
        <f>IFERROR(INDEX(Id_Categorias, MATCH(B11,Categorias,0)),"Sin Cierre")</f>
        <v>Sin Cierre</v>
      </c>
      <c r="XEX11" s="27">
        <f t="shared" si="0"/>
        <v>0</v>
      </c>
    </row>
    <row r="12" spans="1:3 16378:16378" x14ac:dyDescent="0.25">
      <c r="A12" s="68">
        <v>44207</v>
      </c>
      <c r="B12" s="28"/>
      <c r="C12" s="29" t="str">
        <f>IFERROR(INDEX(Id_Categorias, MATCH(B12,Categorias,0)),"Sin Cierre")</f>
        <v>Sin Cierre</v>
      </c>
      <c r="XEX12" s="27">
        <f t="shared" si="0"/>
        <v>0</v>
      </c>
    </row>
    <row r="13" spans="1:3 16378:16378" x14ac:dyDescent="0.25">
      <c r="A13" s="68">
        <v>44208</v>
      </c>
      <c r="B13" s="28"/>
      <c r="C13" s="29" t="str">
        <f>IFERROR(INDEX(Id_Categorias, MATCH(B13,Categorias,0)),"Sin Cierre")</f>
        <v>Sin Cierre</v>
      </c>
    </row>
    <row r="14" spans="1:3 16378:16378" x14ac:dyDescent="0.25">
      <c r="A14" s="68">
        <v>44209</v>
      </c>
      <c r="B14" s="28"/>
      <c r="C14" s="29" t="str">
        <f>IFERROR(INDEX(Id_Categorias, MATCH(B14,Categorias,0)),"Sin Cierre")</f>
        <v>Sin Cierre</v>
      </c>
    </row>
    <row r="15" spans="1:3 16378:16378" x14ac:dyDescent="0.25">
      <c r="A15" s="68">
        <v>44210</v>
      </c>
      <c r="B15" s="28"/>
      <c r="C15" s="29" t="str">
        <f>IFERROR(INDEX(Id_Categorias, MATCH(B15,Categorias,0)),"Sin Cierre")</f>
        <v>Sin Cierre</v>
      </c>
    </row>
    <row r="16" spans="1:3 16378:16378" x14ac:dyDescent="0.25">
      <c r="A16" s="68">
        <v>44211</v>
      </c>
      <c r="B16" s="28"/>
      <c r="C16" s="29" t="str">
        <f>IFERROR(INDEX(Id_Categorias, MATCH(B16,Categorias,0)),"Sin Cierre")</f>
        <v>Sin Cierre</v>
      </c>
    </row>
    <row r="17" spans="1:3" x14ac:dyDescent="0.25">
      <c r="A17" s="68">
        <v>44212</v>
      </c>
      <c r="B17" s="28"/>
      <c r="C17" s="29" t="str">
        <f t="shared" ref="C17:C80" si="1">IFERROR(INDEX(Id_Categorias, MATCH(B17,Categorias,0)),"Sin Cierre")</f>
        <v>Sin Cierre</v>
      </c>
    </row>
    <row r="18" spans="1:3" x14ac:dyDescent="0.25">
      <c r="A18" s="68">
        <v>44213</v>
      </c>
      <c r="B18" s="28"/>
      <c r="C18" s="29" t="str">
        <f t="shared" si="1"/>
        <v>Sin Cierre</v>
      </c>
    </row>
    <row r="19" spans="1:3" x14ac:dyDescent="0.25">
      <c r="A19" s="68">
        <v>44214</v>
      </c>
      <c r="B19" s="28"/>
      <c r="C19" s="29" t="str">
        <f t="shared" si="1"/>
        <v>Sin Cierre</v>
      </c>
    </row>
    <row r="20" spans="1:3" x14ac:dyDescent="0.25">
      <c r="A20" s="68">
        <v>44215</v>
      </c>
      <c r="B20" s="28"/>
      <c r="C20" s="29" t="str">
        <f t="shared" si="1"/>
        <v>Sin Cierre</v>
      </c>
    </row>
    <row r="21" spans="1:3" x14ac:dyDescent="0.25">
      <c r="A21" s="68">
        <v>44216</v>
      </c>
      <c r="B21" s="28"/>
      <c r="C21" s="29" t="str">
        <f t="shared" si="1"/>
        <v>Sin Cierre</v>
      </c>
    </row>
    <row r="22" spans="1:3" x14ac:dyDescent="0.25">
      <c r="A22" s="68">
        <v>44217</v>
      </c>
      <c r="B22" s="28"/>
      <c r="C22" s="29" t="str">
        <f t="shared" si="1"/>
        <v>Sin Cierre</v>
      </c>
    </row>
    <row r="23" spans="1:3" x14ac:dyDescent="0.25">
      <c r="A23" s="68">
        <v>44218</v>
      </c>
      <c r="B23" s="28"/>
      <c r="C23" s="29" t="str">
        <f t="shared" si="1"/>
        <v>Sin Cierre</v>
      </c>
    </row>
    <row r="24" spans="1:3" x14ac:dyDescent="0.25">
      <c r="A24" s="68">
        <v>44219</v>
      </c>
      <c r="B24" s="28"/>
      <c r="C24" s="29" t="str">
        <f t="shared" si="1"/>
        <v>Sin Cierre</v>
      </c>
    </row>
    <row r="25" spans="1:3" x14ac:dyDescent="0.25">
      <c r="A25" s="68">
        <v>44220</v>
      </c>
      <c r="B25" s="28"/>
      <c r="C25" s="29" t="str">
        <f t="shared" si="1"/>
        <v>Sin Cierre</v>
      </c>
    </row>
    <row r="26" spans="1:3" x14ac:dyDescent="0.25">
      <c r="A26" s="68">
        <v>44221</v>
      </c>
      <c r="B26" s="28"/>
      <c r="C26" s="29" t="str">
        <f t="shared" si="1"/>
        <v>Sin Cierre</v>
      </c>
    </row>
    <row r="27" spans="1:3" x14ac:dyDescent="0.25">
      <c r="A27" s="68">
        <v>44222</v>
      </c>
      <c r="B27" s="28"/>
      <c r="C27" s="29" t="str">
        <f t="shared" si="1"/>
        <v>Sin Cierre</v>
      </c>
    </row>
    <row r="28" spans="1:3" x14ac:dyDescent="0.25">
      <c r="A28" s="68">
        <v>44223</v>
      </c>
      <c r="B28" s="28"/>
      <c r="C28" s="29" t="str">
        <f t="shared" si="1"/>
        <v>Sin Cierre</v>
      </c>
    </row>
    <row r="29" spans="1:3" x14ac:dyDescent="0.25">
      <c r="A29" s="68">
        <v>44224</v>
      </c>
      <c r="B29" s="28"/>
      <c r="C29" s="29" t="str">
        <f t="shared" si="1"/>
        <v>Sin Cierre</v>
      </c>
    </row>
    <row r="30" spans="1:3" x14ac:dyDescent="0.25">
      <c r="A30" s="68">
        <v>44225</v>
      </c>
      <c r="B30" s="28"/>
      <c r="C30" s="29" t="str">
        <f t="shared" si="1"/>
        <v>Sin Cierre</v>
      </c>
    </row>
    <row r="31" spans="1:3" x14ac:dyDescent="0.25">
      <c r="A31" s="68">
        <v>44226</v>
      </c>
      <c r="B31" s="28"/>
      <c r="C31" s="29" t="str">
        <f t="shared" si="1"/>
        <v>Sin Cierre</v>
      </c>
    </row>
    <row r="32" spans="1:3" x14ac:dyDescent="0.25">
      <c r="A32" s="68">
        <v>44227</v>
      </c>
      <c r="B32" s="28"/>
      <c r="C32" s="29" t="str">
        <f t="shared" si="1"/>
        <v>Sin Cierre</v>
      </c>
    </row>
    <row r="33" spans="1:3" x14ac:dyDescent="0.25">
      <c r="A33" s="68">
        <v>44228</v>
      </c>
      <c r="B33" s="28"/>
      <c r="C33" s="29" t="str">
        <f t="shared" si="1"/>
        <v>Sin Cierre</v>
      </c>
    </row>
    <row r="34" spans="1:3" x14ac:dyDescent="0.25">
      <c r="A34" s="68">
        <v>44229</v>
      </c>
      <c r="B34" s="28"/>
      <c r="C34" s="29" t="str">
        <f t="shared" si="1"/>
        <v>Sin Cierre</v>
      </c>
    </row>
    <row r="35" spans="1:3" x14ac:dyDescent="0.25">
      <c r="A35" s="68">
        <v>44230</v>
      </c>
      <c r="B35" s="28"/>
      <c r="C35" s="29" t="str">
        <f t="shared" si="1"/>
        <v>Sin Cierre</v>
      </c>
    </row>
    <row r="36" spans="1:3" x14ac:dyDescent="0.25">
      <c r="A36" s="68">
        <v>44231</v>
      </c>
      <c r="B36" s="28"/>
      <c r="C36" s="29" t="str">
        <f t="shared" si="1"/>
        <v>Sin Cierre</v>
      </c>
    </row>
    <row r="37" spans="1:3" x14ac:dyDescent="0.25">
      <c r="A37" s="68">
        <v>44232</v>
      </c>
      <c r="B37" s="28"/>
      <c r="C37" s="29" t="str">
        <f t="shared" si="1"/>
        <v>Sin Cierre</v>
      </c>
    </row>
    <row r="38" spans="1:3" x14ac:dyDescent="0.25">
      <c r="A38" s="68">
        <v>44233</v>
      </c>
      <c r="B38" s="28"/>
      <c r="C38" s="29" t="str">
        <f t="shared" si="1"/>
        <v>Sin Cierre</v>
      </c>
    </row>
    <row r="39" spans="1:3" x14ac:dyDescent="0.25">
      <c r="A39" s="68">
        <v>44234</v>
      </c>
      <c r="B39" s="28"/>
      <c r="C39" s="29" t="str">
        <f t="shared" si="1"/>
        <v>Sin Cierre</v>
      </c>
    </row>
    <row r="40" spans="1:3" x14ac:dyDescent="0.25">
      <c r="A40" s="68">
        <v>44235</v>
      </c>
      <c r="B40" s="28"/>
      <c r="C40" s="29" t="str">
        <f t="shared" si="1"/>
        <v>Sin Cierre</v>
      </c>
    </row>
    <row r="41" spans="1:3" x14ac:dyDescent="0.25">
      <c r="A41" s="68">
        <v>44236</v>
      </c>
      <c r="B41" s="28"/>
      <c r="C41" s="29" t="str">
        <f t="shared" si="1"/>
        <v>Sin Cierre</v>
      </c>
    </row>
    <row r="42" spans="1:3" x14ac:dyDescent="0.25">
      <c r="A42" s="68">
        <v>44237</v>
      </c>
      <c r="B42" s="28"/>
      <c r="C42" s="29" t="str">
        <f t="shared" si="1"/>
        <v>Sin Cierre</v>
      </c>
    </row>
    <row r="43" spans="1:3" x14ac:dyDescent="0.25">
      <c r="A43" s="68">
        <v>44238</v>
      </c>
      <c r="B43" s="28"/>
      <c r="C43" s="29" t="str">
        <f t="shared" si="1"/>
        <v>Sin Cierre</v>
      </c>
    </row>
    <row r="44" spans="1:3" x14ac:dyDescent="0.25">
      <c r="A44" s="68">
        <v>44239</v>
      </c>
      <c r="B44" s="28" t="s">
        <v>17</v>
      </c>
      <c r="C44" s="29">
        <f t="shared" si="1"/>
        <v>6</v>
      </c>
    </row>
    <row r="45" spans="1:3" x14ac:dyDescent="0.25">
      <c r="A45" s="68">
        <v>44240</v>
      </c>
      <c r="B45" s="28" t="s">
        <v>17</v>
      </c>
      <c r="C45" s="29">
        <f t="shared" si="1"/>
        <v>6</v>
      </c>
    </row>
    <row r="46" spans="1:3" x14ac:dyDescent="0.25">
      <c r="A46" s="68">
        <v>44241</v>
      </c>
      <c r="B46" s="28"/>
      <c r="C46" s="29" t="str">
        <f t="shared" si="1"/>
        <v>Sin Cierre</v>
      </c>
    </row>
    <row r="47" spans="1:3" x14ac:dyDescent="0.25">
      <c r="A47" s="68">
        <v>44242</v>
      </c>
      <c r="B47" s="28"/>
      <c r="C47" s="29" t="str">
        <f t="shared" si="1"/>
        <v>Sin Cierre</v>
      </c>
    </row>
    <row r="48" spans="1:3" x14ac:dyDescent="0.25">
      <c r="A48" s="68">
        <v>44243</v>
      </c>
      <c r="B48" s="28" t="s">
        <v>17</v>
      </c>
      <c r="C48" s="29">
        <f t="shared" si="1"/>
        <v>6</v>
      </c>
    </row>
    <row r="49" spans="1:3" x14ac:dyDescent="0.25">
      <c r="A49" s="68">
        <v>44244</v>
      </c>
      <c r="B49" s="28" t="s">
        <v>17</v>
      </c>
      <c r="C49" s="29">
        <f t="shared" si="1"/>
        <v>6</v>
      </c>
    </row>
    <row r="50" spans="1:3" x14ac:dyDescent="0.25">
      <c r="A50" s="68">
        <v>44245</v>
      </c>
      <c r="B50" s="28"/>
      <c r="C50" s="29" t="str">
        <f t="shared" si="1"/>
        <v>Sin Cierre</v>
      </c>
    </row>
    <row r="51" spans="1:3" x14ac:dyDescent="0.25">
      <c r="A51" s="68">
        <v>44246</v>
      </c>
      <c r="B51" s="28"/>
      <c r="C51" s="29" t="str">
        <f t="shared" si="1"/>
        <v>Sin Cierre</v>
      </c>
    </row>
    <row r="52" spans="1:3" x14ac:dyDescent="0.25">
      <c r="A52" s="68">
        <v>44247</v>
      </c>
      <c r="B52" s="28"/>
      <c r="C52" s="29" t="str">
        <f t="shared" si="1"/>
        <v>Sin Cierre</v>
      </c>
    </row>
    <row r="53" spans="1:3" x14ac:dyDescent="0.25">
      <c r="A53" s="68">
        <v>44248</v>
      </c>
      <c r="B53" s="28"/>
      <c r="C53" s="29" t="str">
        <f t="shared" si="1"/>
        <v>Sin Cierre</v>
      </c>
    </row>
    <row r="54" spans="1:3" x14ac:dyDescent="0.25">
      <c r="A54" s="68">
        <v>44249</v>
      </c>
      <c r="B54" s="28" t="s">
        <v>17</v>
      </c>
      <c r="C54" s="29">
        <f t="shared" si="1"/>
        <v>6</v>
      </c>
    </row>
    <row r="55" spans="1:3" x14ac:dyDescent="0.25">
      <c r="A55" s="68">
        <v>44250</v>
      </c>
      <c r="B55" s="28" t="s">
        <v>17</v>
      </c>
      <c r="C55" s="29">
        <f t="shared" si="1"/>
        <v>6</v>
      </c>
    </row>
    <row r="56" spans="1:3" x14ac:dyDescent="0.25">
      <c r="A56" s="68">
        <v>44251</v>
      </c>
      <c r="B56" s="28" t="s">
        <v>17</v>
      </c>
      <c r="C56" s="29">
        <f t="shared" si="1"/>
        <v>6</v>
      </c>
    </row>
    <row r="57" spans="1:3" x14ac:dyDescent="0.25">
      <c r="A57" s="68">
        <v>44252</v>
      </c>
      <c r="B57" s="28"/>
      <c r="C57" s="29" t="str">
        <f t="shared" si="1"/>
        <v>Sin Cierre</v>
      </c>
    </row>
    <row r="58" spans="1:3" x14ac:dyDescent="0.25">
      <c r="A58" s="68">
        <v>44253</v>
      </c>
      <c r="B58" s="28"/>
      <c r="C58" s="29" t="str">
        <f t="shared" si="1"/>
        <v>Sin Cierre</v>
      </c>
    </row>
    <row r="59" spans="1:3" x14ac:dyDescent="0.25">
      <c r="A59" s="68">
        <v>44254</v>
      </c>
      <c r="B59" s="28"/>
      <c r="C59" s="29" t="str">
        <f t="shared" si="1"/>
        <v>Sin Cierre</v>
      </c>
    </row>
    <row r="60" spans="1:3" x14ac:dyDescent="0.25">
      <c r="A60" s="68">
        <v>44255</v>
      </c>
      <c r="B60" s="28"/>
      <c r="C60" s="29" t="str">
        <f t="shared" si="1"/>
        <v>Sin Cierre</v>
      </c>
    </row>
    <row r="61" spans="1:3" x14ac:dyDescent="0.25">
      <c r="A61" s="68">
        <v>44256</v>
      </c>
      <c r="B61" s="28"/>
      <c r="C61" s="29" t="str">
        <f t="shared" si="1"/>
        <v>Sin Cierre</v>
      </c>
    </row>
    <row r="62" spans="1:3" x14ac:dyDescent="0.25">
      <c r="A62" s="68">
        <v>44257</v>
      </c>
      <c r="B62" s="28"/>
      <c r="C62" s="29" t="str">
        <f t="shared" si="1"/>
        <v>Sin Cierre</v>
      </c>
    </row>
    <row r="63" spans="1:3" x14ac:dyDescent="0.25">
      <c r="A63" s="68">
        <v>44258</v>
      </c>
      <c r="B63" s="28"/>
      <c r="C63" s="29" t="str">
        <f t="shared" si="1"/>
        <v>Sin Cierre</v>
      </c>
    </row>
    <row r="64" spans="1:3" x14ac:dyDescent="0.25">
      <c r="A64" s="68">
        <v>44259</v>
      </c>
      <c r="B64" s="28" t="s">
        <v>17</v>
      </c>
      <c r="C64" s="29">
        <f t="shared" si="1"/>
        <v>6</v>
      </c>
    </row>
    <row r="65" spans="1:3" x14ac:dyDescent="0.25">
      <c r="A65" s="68">
        <v>44260</v>
      </c>
      <c r="B65" s="28"/>
      <c r="C65" s="29" t="str">
        <f t="shared" si="1"/>
        <v>Sin Cierre</v>
      </c>
    </row>
    <row r="66" spans="1:3" x14ac:dyDescent="0.25">
      <c r="A66" s="68">
        <v>44261</v>
      </c>
      <c r="B66" s="28"/>
      <c r="C66" s="29" t="str">
        <f t="shared" si="1"/>
        <v>Sin Cierre</v>
      </c>
    </row>
    <row r="67" spans="1:3" x14ac:dyDescent="0.25">
      <c r="A67" s="68">
        <v>44262</v>
      </c>
      <c r="B67" s="28"/>
      <c r="C67" s="29" t="str">
        <f t="shared" si="1"/>
        <v>Sin Cierre</v>
      </c>
    </row>
    <row r="68" spans="1:3" x14ac:dyDescent="0.25">
      <c r="A68" s="68">
        <v>44263</v>
      </c>
      <c r="B68" s="28"/>
      <c r="C68" s="29" t="str">
        <f t="shared" si="1"/>
        <v>Sin Cierre</v>
      </c>
    </row>
    <row r="69" spans="1:3" x14ac:dyDescent="0.25">
      <c r="A69" s="68">
        <v>44264</v>
      </c>
      <c r="B69" s="28"/>
      <c r="C69" s="29" t="str">
        <f t="shared" si="1"/>
        <v>Sin Cierre</v>
      </c>
    </row>
    <row r="70" spans="1:3" x14ac:dyDescent="0.25">
      <c r="A70" s="68">
        <v>44265</v>
      </c>
      <c r="B70" s="28"/>
      <c r="C70" s="29" t="str">
        <f t="shared" si="1"/>
        <v>Sin Cierre</v>
      </c>
    </row>
    <row r="71" spans="1:3" x14ac:dyDescent="0.25">
      <c r="A71" s="68">
        <v>44266</v>
      </c>
      <c r="B71" s="28" t="s">
        <v>17</v>
      </c>
      <c r="C71" s="29">
        <f t="shared" si="1"/>
        <v>6</v>
      </c>
    </row>
    <row r="72" spans="1:3" x14ac:dyDescent="0.25">
      <c r="A72" s="68">
        <v>44267</v>
      </c>
      <c r="B72" s="28"/>
      <c r="C72" s="29" t="str">
        <f t="shared" si="1"/>
        <v>Sin Cierre</v>
      </c>
    </row>
    <row r="73" spans="1:3" x14ac:dyDescent="0.25">
      <c r="A73" s="68">
        <v>44268</v>
      </c>
      <c r="B73" s="28"/>
      <c r="C73" s="29" t="str">
        <f t="shared" si="1"/>
        <v>Sin Cierre</v>
      </c>
    </row>
    <row r="74" spans="1:3" x14ac:dyDescent="0.25">
      <c r="A74" s="68">
        <v>44269</v>
      </c>
      <c r="B74" s="28"/>
      <c r="C74" s="29" t="str">
        <f t="shared" si="1"/>
        <v>Sin Cierre</v>
      </c>
    </row>
    <row r="75" spans="1:3" x14ac:dyDescent="0.25">
      <c r="A75" s="68">
        <v>44270</v>
      </c>
      <c r="B75" s="28"/>
      <c r="C75" s="29" t="str">
        <f t="shared" si="1"/>
        <v>Sin Cierre</v>
      </c>
    </row>
    <row r="76" spans="1:3" x14ac:dyDescent="0.25">
      <c r="A76" s="68">
        <v>44271</v>
      </c>
      <c r="B76" s="28"/>
      <c r="C76" s="29" t="str">
        <f t="shared" si="1"/>
        <v>Sin Cierre</v>
      </c>
    </row>
    <row r="77" spans="1:3" x14ac:dyDescent="0.25">
      <c r="A77" s="68">
        <v>44272</v>
      </c>
      <c r="B77" s="28"/>
      <c r="C77" s="29" t="str">
        <f t="shared" si="1"/>
        <v>Sin Cierre</v>
      </c>
    </row>
    <row r="78" spans="1:3" x14ac:dyDescent="0.25">
      <c r="A78" s="68">
        <v>44273</v>
      </c>
      <c r="B78" s="28"/>
      <c r="C78" s="29" t="str">
        <f t="shared" si="1"/>
        <v>Sin Cierre</v>
      </c>
    </row>
    <row r="79" spans="1:3" x14ac:dyDescent="0.25">
      <c r="A79" s="68">
        <v>44274</v>
      </c>
      <c r="B79" s="28" t="s">
        <v>10</v>
      </c>
      <c r="C79" s="29">
        <f t="shared" si="1"/>
        <v>2</v>
      </c>
    </row>
    <row r="80" spans="1:3" x14ac:dyDescent="0.25">
      <c r="A80" s="68">
        <v>44275</v>
      </c>
      <c r="B80" s="28" t="s">
        <v>10</v>
      </c>
      <c r="C80" s="29">
        <f t="shared" si="1"/>
        <v>2</v>
      </c>
    </row>
    <row r="81" spans="1:3" x14ac:dyDescent="0.25">
      <c r="A81" s="68">
        <v>44276</v>
      </c>
      <c r="B81" s="28" t="s">
        <v>10</v>
      </c>
      <c r="C81" s="29">
        <f t="shared" ref="C81:C144" si="2">IFERROR(INDEX(Id_Categorias, MATCH(B81,Categorias,0)),"Sin Cierre")</f>
        <v>2</v>
      </c>
    </row>
    <row r="82" spans="1:3" x14ac:dyDescent="0.25">
      <c r="A82" s="68">
        <v>44277</v>
      </c>
      <c r="B82" s="28" t="s">
        <v>10</v>
      </c>
      <c r="C82" s="29">
        <f t="shared" si="2"/>
        <v>2</v>
      </c>
    </row>
    <row r="83" spans="1:3" x14ac:dyDescent="0.25">
      <c r="A83" s="68">
        <v>44278</v>
      </c>
      <c r="B83" s="28" t="s">
        <v>10</v>
      </c>
      <c r="C83" s="29">
        <f t="shared" si="2"/>
        <v>2</v>
      </c>
    </row>
    <row r="84" spans="1:3" x14ac:dyDescent="0.25">
      <c r="A84" s="68">
        <v>44279</v>
      </c>
      <c r="B84" s="28" t="s">
        <v>10</v>
      </c>
      <c r="C84" s="29">
        <f t="shared" si="2"/>
        <v>2</v>
      </c>
    </row>
    <row r="85" spans="1:3" x14ac:dyDescent="0.25">
      <c r="A85" s="68">
        <v>44280</v>
      </c>
      <c r="B85" s="28" t="s">
        <v>10</v>
      </c>
      <c r="C85" s="29">
        <f t="shared" si="2"/>
        <v>2</v>
      </c>
    </row>
    <row r="86" spans="1:3" x14ac:dyDescent="0.25">
      <c r="A86" s="68">
        <v>44281</v>
      </c>
      <c r="B86" s="28" t="s">
        <v>10</v>
      </c>
      <c r="C86" s="29">
        <f t="shared" si="2"/>
        <v>2</v>
      </c>
    </row>
    <row r="87" spans="1:3" x14ac:dyDescent="0.25">
      <c r="A87" s="68">
        <v>44282</v>
      </c>
      <c r="B87" s="28" t="s">
        <v>10</v>
      </c>
      <c r="C87" s="29">
        <f t="shared" si="2"/>
        <v>2</v>
      </c>
    </row>
    <row r="88" spans="1:3" x14ac:dyDescent="0.25">
      <c r="A88" s="68">
        <v>44283</v>
      </c>
      <c r="B88" s="28" t="s">
        <v>10</v>
      </c>
      <c r="C88" s="29">
        <f t="shared" si="2"/>
        <v>2</v>
      </c>
    </row>
    <row r="89" spans="1:3" x14ac:dyDescent="0.25">
      <c r="A89" s="68">
        <v>44284</v>
      </c>
      <c r="B89" s="28" t="s">
        <v>10</v>
      </c>
      <c r="C89" s="29">
        <f t="shared" si="2"/>
        <v>2</v>
      </c>
    </row>
    <row r="90" spans="1:3" x14ac:dyDescent="0.25">
      <c r="A90" s="68">
        <v>44285</v>
      </c>
      <c r="B90" s="28" t="s">
        <v>10</v>
      </c>
      <c r="C90" s="29">
        <f t="shared" si="2"/>
        <v>2</v>
      </c>
    </row>
    <row r="91" spans="1:3" x14ac:dyDescent="0.25">
      <c r="A91" s="68">
        <v>44286</v>
      </c>
      <c r="B91" s="28" t="s">
        <v>10</v>
      </c>
      <c r="C91" s="29">
        <f t="shared" si="2"/>
        <v>2</v>
      </c>
    </row>
    <row r="92" spans="1:3" x14ac:dyDescent="0.25">
      <c r="A92" s="68">
        <v>44287</v>
      </c>
      <c r="B92" s="28" t="s">
        <v>10</v>
      </c>
      <c r="C92" s="29">
        <f t="shared" si="2"/>
        <v>2</v>
      </c>
    </row>
    <row r="93" spans="1:3" x14ac:dyDescent="0.25">
      <c r="A93" s="68">
        <v>44288</v>
      </c>
      <c r="B93" s="28" t="s">
        <v>10</v>
      </c>
      <c r="C93" s="29">
        <f t="shared" si="2"/>
        <v>2</v>
      </c>
    </row>
    <row r="94" spans="1:3" x14ac:dyDescent="0.25">
      <c r="A94" s="68">
        <v>44289</v>
      </c>
      <c r="B94" s="28" t="s">
        <v>10</v>
      </c>
      <c r="C94" s="29">
        <f t="shared" si="2"/>
        <v>2</v>
      </c>
    </row>
    <row r="95" spans="1:3" x14ac:dyDescent="0.25">
      <c r="A95" s="68">
        <v>44290</v>
      </c>
      <c r="B95" s="28" t="s">
        <v>10</v>
      </c>
      <c r="C95" s="29">
        <f t="shared" si="2"/>
        <v>2</v>
      </c>
    </row>
    <row r="96" spans="1:3" x14ac:dyDescent="0.25">
      <c r="A96" s="68">
        <v>44291</v>
      </c>
      <c r="B96" s="28" t="s">
        <v>10</v>
      </c>
      <c r="C96" s="29">
        <f t="shared" si="2"/>
        <v>2</v>
      </c>
    </row>
    <row r="97" spans="1:3" x14ac:dyDescent="0.25">
      <c r="A97" s="68">
        <v>44292</v>
      </c>
      <c r="B97" s="28" t="s">
        <v>10</v>
      </c>
      <c r="C97" s="29">
        <f t="shared" si="2"/>
        <v>2</v>
      </c>
    </row>
    <row r="98" spans="1:3" x14ac:dyDescent="0.25">
      <c r="A98" s="68">
        <v>44293</v>
      </c>
      <c r="B98" s="28" t="s">
        <v>10</v>
      </c>
      <c r="C98" s="29">
        <f t="shared" si="2"/>
        <v>2</v>
      </c>
    </row>
    <row r="99" spans="1:3" x14ac:dyDescent="0.25">
      <c r="A99" s="68">
        <v>44294</v>
      </c>
      <c r="B99" s="28" t="s">
        <v>10</v>
      </c>
      <c r="C99" s="29">
        <f t="shared" si="2"/>
        <v>2</v>
      </c>
    </row>
    <row r="100" spans="1:3" x14ac:dyDescent="0.25">
      <c r="A100" s="68">
        <v>44295</v>
      </c>
      <c r="B100" s="28" t="s">
        <v>10</v>
      </c>
      <c r="C100" s="29">
        <f t="shared" si="2"/>
        <v>2</v>
      </c>
    </row>
    <row r="101" spans="1:3" x14ac:dyDescent="0.25">
      <c r="A101" s="68">
        <v>44296</v>
      </c>
      <c r="B101" s="28" t="s">
        <v>10</v>
      </c>
      <c r="C101" s="29">
        <f t="shared" si="2"/>
        <v>2</v>
      </c>
    </row>
    <row r="102" spans="1:3" x14ac:dyDescent="0.25">
      <c r="A102" s="68">
        <v>44297</v>
      </c>
      <c r="B102" s="28" t="s">
        <v>10</v>
      </c>
      <c r="C102" s="29">
        <f t="shared" si="2"/>
        <v>2</v>
      </c>
    </row>
    <row r="103" spans="1:3" x14ac:dyDescent="0.25">
      <c r="A103" s="68">
        <v>44298</v>
      </c>
      <c r="B103" s="28" t="s">
        <v>10</v>
      </c>
      <c r="C103" s="29">
        <f t="shared" si="2"/>
        <v>2</v>
      </c>
    </row>
    <row r="104" spans="1:3" x14ac:dyDescent="0.25">
      <c r="A104" s="68">
        <v>44299</v>
      </c>
      <c r="B104" s="28" t="s">
        <v>10</v>
      </c>
      <c r="C104" s="29">
        <f t="shared" si="2"/>
        <v>2</v>
      </c>
    </row>
    <row r="105" spans="1:3" x14ac:dyDescent="0.25">
      <c r="A105" s="68">
        <v>44300</v>
      </c>
      <c r="B105" s="28" t="s">
        <v>10</v>
      </c>
      <c r="C105" s="29">
        <f t="shared" si="2"/>
        <v>2</v>
      </c>
    </row>
    <row r="106" spans="1:3" x14ac:dyDescent="0.25">
      <c r="A106" s="68">
        <v>44301</v>
      </c>
      <c r="B106" s="28" t="s">
        <v>10</v>
      </c>
      <c r="C106" s="29">
        <f t="shared" si="2"/>
        <v>2</v>
      </c>
    </row>
    <row r="107" spans="1:3" x14ac:dyDescent="0.25">
      <c r="A107" s="68">
        <v>44302</v>
      </c>
      <c r="B107" s="28" t="s">
        <v>10</v>
      </c>
      <c r="C107" s="29">
        <f t="shared" si="2"/>
        <v>2</v>
      </c>
    </row>
    <row r="108" spans="1:3" x14ac:dyDescent="0.25">
      <c r="A108" s="68">
        <v>44303</v>
      </c>
      <c r="B108" s="28" t="s">
        <v>10</v>
      </c>
      <c r="C108" s="29">
        <f t="shared" si="2"/>
        <v>2</v>
      </c>
    </row>
    <row r="109" spans="1:3" x14ac:dyDescent="0.25">
      <c r="A109" s="68">
        <v>44304</v>
      </c>
      <c r="B109" s="28" t="s">
        <v>10</v>
      </c>
      <c r="C109" s="29">
        <f t="shared" si="2"/>
        <v>2</v>
      </c>
    </row>
    <row r="110" spans="1:3" x14ac:dyDescent="0.25">
      <c r="A110" s="68">
        <v>44305</v>
      </c>
      <c r="B110" s="28" t="s">
        <v>10</v>
      </c>
      <c r="C110" s="29">
        <f t="shared" si="2"/>
        <v>2</v>
      </c>
    </row>
    <row r="111" spans="1:3" x14ac:dyDescent="0.25">
      <c r="A111" s="68">
        <v>44306</v>
      </c>
      <c r="B111" s="28" t="s">
        <v>10</v>
      </c>
      <c r="C111" s="29">
        <f t="shared" si="2"/>
        <v>2</v>
      </c>
    </row>
    <row r="112" spans="1:3" x14ac:dyDescent="0.25">
      <c r="A112" s="68">
        <v>44307</v>
      </c>
      <c r="B112" s="28" t="s">
        <v>10</v>
      </c>
      <c r="C112" s="29">
        <f t="shared" si="2"/>
        <v>2</v>
      </c>
    </row>
    <row r="113" spans="1:3" x14ac:dyDescent="0.25">
      <c r="A113" s="68">
        <v>44308</v>
      </c>
      <c r="B113" s="28" t="s">
        <v>10</v>
      </c>
      <c r="C113" s="29">
        <f t="shared" si="2"/>
        <v>2</v>
      </c>
    </row>
    <row r="114" spans="1:3" x14ac:dyDescent="0.25">
      <c r="A114" s="68">
        <v>44309</v>
      </c>
      <c r="B114" s="28" t="s">
        <v>10</v>
      </c>
      <c r="C114" s="29">
        <f t="shared" si="2"/>
        <v>2</v>
      </c>
    </row>
    <row r="115" spans="1:3" x14ac:dyDescent="0.25">
      <c r="A115" s="68">
        <v>44310</v>
      </c>
      <c r="B115" s="28" t="s">
        <v>10</v>
      </c>
      <c r="C115" s="29">
        <f t="shared" si="2"/>
        <v>2</v>
      </c>
    </row>
    <row r="116" spans="1:3" x14ac:dyDescent="0.25">
      <c r="A116" s="68">
        <v>44311</v>
      </c>
      <c r="B116" s="28" t="s">
        <v>10</v>
      </c>
      <c r="C116" s="29">
        <f t="shared" si="2"/>
        <v>2</v>
      </c>
    </row>
    <row r="117" spans="1:3" x14ac:dyDescent="0.25">
      <c r="A117" s="68">
        <v>44312</v>
      </c>
      <c r="B117" s="28" t="s">
        <v>10</v>
      </c>
      <c r="C117" s="29">
        <f t="shared" si="2"/>
        <v>2</v>
      </c>
    </row>
    <row r="118" spans="1:3" x14ac:dyDescent="0.25">
      <c r="A118" s="68">
        <v>44313</v>
      </c>
      <c r="B118" s="28" t="s">
        <v>10</v>
      </c>
      <c r="C118" s="29">
        <f t="shared" si="2"/>
        <v>2</v>
      </c>
    </row>
    <row r="119" spans="1:3" x14ac:dyDescent="0.25">
      <c r="A119" s="68">
        <v>44314</v>
      </c>
      <c r="B119" s="28" t="s">
        <v>10</v>
      </c>
      <c r="C119" s="29">
        <f t="shared" si="2"/>
        <v>2</v>
      </c>
    </row>
    <row r="120" spans="1:3" x14ac:dyDescent="0.25">
      <c r="A120" s="68">
        <v>44315</v>
      </c>
      <c r="B120" s="28" t="s">
        <v>10</v>
      </c>
      <c r="C120" s="29">
        <f t="shared" si="2"/>
        <v>2</v>
      </c>
    </row>
    <row r="121" spans="1:3" x14ac:dyDescent="0.25">
      <c r="A121" s="68">
        <v>44316</v>
      </c>
      <c r="B121" s="28" t="s">
        <v>10</v>
      </c>
      <c r="C121" s="29">
        <f t="shared" si="2"/>
        <v>2</v>
      </c>
    </row>
    <row r="122" spans="1:3" x14ac:dyDescent="0.25">
      <c r="A122" s="68">
        <v>44317</v>
      </c>
      <c r="B122" s="28" t="s">
        <v>10</v>
      </c>
      <c r="C122" s="29">
        <f t="shared" si="2"/>
        <v>2</v>
      </c>
    </row>
    <row r="123" spans="1:3" x14ac:dyDescent="0.25">
      <c r="A123" s="68">
        <v>44318</v>
      </c>
      <c r="B123" s="28" t="s">
        <v>10</v>
      </c>
      <c r="C123" s="29">
        <f t="shared" si="2"/>
        <v>2</v>
      </c>
    </row>
    <row r="124" spans="1:3" x14ac:dyDescent="0.25">
      <c r="A124" s="68">
        <v>44319</v>
      </c>
      <c r="B124" s="28" t="s">
        <v>10</v>
      </c>
      <c r="C124" s="29">
        <f t="shared" si="2"/>
        <v>2</v>
      </c>
    </row>
    <row r="125" spans="1:3" x14ac:dyDescent="0.25">
      <c r="A125" s="68">
        <v>44320</v>
      </c>
      <c r="B125" s="28" t="s">
        <v>10</v>
      </c>
      <c r="C125" s="29">
        <f t="shared" si="2"/>
        <v>2</v>
      </c>
    </row>
    <row r="126" spans="1:3" x14ac:dyDescent="0.25">
      <c r="A126" s="68">
        <v>44321</v>
      </c>
      <c r="B126" s="28" t="s">
        <v>10</v>
      </c>
      <c r="C126" s="29">
        <f t="shared" si="2"/>
        <v>2</v>
      </c>
    </row>
    <row r="127" spans="1:3" x14ac:dyDescent="0.25">
      <c r="A127" s="68">
        <v>44322</v>
      </c>
      <c r="B127" s="28" t="s">
        <v>10</v>
      </c>
      <c r="C127" s="29">
        <f t="shared" si="2"/>
        <v>2</v>
      </c>
    </row>
    <row r="128" spans="1:3" x14ac:dyDescent="0.25">
      <c r="A128" s="68">
        <v>44323</v>
      </c>
      <c r="B128" s="28" t="s">
        <v>10</v>
      </c>
      <c r="C128" s="29">
        <f t="shared" si="2"/>
        <v>2</v>
      </c>
    </row>
    <row r="129" spans="1:3" x14ac:dyDescent="0.25">
      <c r="A129" s="68">
        <v>44324</v>
      </c>
      <c r="B129" s="28" t="s">
        <v>10</v>
      </c>
      <c r="C129" s="29">
        <f t="shared" si="2"/>
        <v>2</v>
      </c>
    </row>
    <row r="130" spans="1:3" x14ac:dyDescent="0.25">
      <c r="A130" s="68">
        <v>44325</v>
      </c>
      <c r="B130" s="28" t="s">
        <v>10</v>
      </c>
      <c r="C130" s="29">
        <f t="shared" si="2"/>
        <v>2</v>
      </c>
    </row>
    <row r="131" spans="1:3" x14ac:dyDescent="0.25">
      <c r="A131" s="68">
        <v>44326</v>
      </c>
      <c r="B131" s="28" t="s">
        <v>10</v>
      </c>
      <c r="C131" s="29">
        <f t="shared" si="2"/>
        <v>2</v>
      </c>
    </row>
    <row r="132" spans="1:3" x14ac:dyDescent="0.25">
      <c r="A132" s="68">
        <v>44327</v>
      </c>
      <c r="B132" s="28" t="s">
        <v>10</v>
      </c>
      <c r="C132" s="29">
        <f t="shared" si="2"/>
        <v>2</v>
      </c>
    </row>
    <row r="133" spans="1:3" x14ac:dyDescent="0.25">
      <c r="A133" s="68">
        <v>44328</v>
      </c>
      <c r="B133" s="28" t="s">
        <v>10</v>
      </c>
      <c r="C133" s="29">
        <f t="shared" si="2"/>
        <v>2</v>
      </c>
    </row>
    <row r="134" spans="1:3" x14ac:dyDescent="0.25">
      <c r="A134" s="68">
        <v>44329</v>
      </c>
      <c r="B134" s="28" t="s">
        <v>10</v>
      </c>
      <c r="C134" s="29">
        <f t="shared" si="2"/>
        <v>2</v>
      </c>
    </row>
    <row r="135" spans="1:3" x14ac:dyDescent="0.25">
      <c r="A135" s="68">
        <v>44330</v>
      </c>
      <c r="B135" s="28" t="s">
        <v>10</v>
      </c>
      <c r="C135" s="29">
        <f t="shared" si="2"/>
        <v>2</v>
      </c>
    </row>
    <row r="136" spans="1:3" x14ac:dyDescent="0.25">
      <c r="A136" s="68">
        <v>44331</v>
      </c>
      <c r="B136" s="28" t="s">
        <v>10</v>
      </c>
      <c r="C136" s="29">
        <f t="shared" si="2"/>
        <v>2</v>
      </c>
    </row>
    <row r="137" spans="1:3" x14ac:dyDescent="0.25">
      <c r="A137" s="68">
        <v>44332</v>
      </c>
      <c r="B137" s="28" t="s">
        <v>10</v>
      </c>
      <c r="C137" s="29">
        <f t="shared" si="2"/>
        <v>2</v>
      </c>
    </row>
    <row r="138" spans="1:3" x14ac:dyDescent="0.25">
      <c r="A138" s="68">
        <v>44333</v>
      </c>
      <c r="B138" s="28" t="s">
        <v>10</v>
      </c>
      <c r="C138" s="29">
        <f t="shared" si="2"/>
        <v>2</v>
      </c>
    </row>
    <row r="139" spans="1:3" x14ac:dyDescent="0.25">
      <c r="A139" s="68">
        <v>44334</v>
      </c>
      <c r="B139" s="28" t="s">
        <v>10</v>
      </c>
      <c r="C139" s="29">
        <f t="shared" si="2"/>
        <v>2</v>
      </c>
    </row>
    <row r="140" spans="1:3" x14ac:dyDescent="0.25">
      <c r="A140" s="68">
        <v>44335</v>
      </c>
      <c r="B140" s="28" t="s">
        <v>10</v>
      </c>
      <c r="C140" s="29">
        <f t="shared" si="2"/>
        <v>2</v>
      </c>
    </row>
    <row r="141" spans="1:3" x14ac:dyDescent="0.25">
      <c r="A141" s="68">
        <v>44336</v>
      </c>
      <c r="B141" s="28" t="s">
        <v>10</v>
      </c>
      <c r="C141" s="29">
        <f t="shared" si="2"/>
        <v>2</v>
      </c>
    </row>
    <row r="142" spans="1:3" x14ac:dyDescent="0.25">
      <c r="A142" s="68">
        <v>44337</v>
      </c>
      <c r="B142" s="28" t="s">
        <v>10</v>
      </c>
      <c r="C142" s="29">
        <f t="shared" si="2"/>
        <v>2</v>
      </c>
    </row>
    <row r="143" spans="1:3" x14ac:dyDescent="0.25">
      <c r="A143" s="68">
        <v>44338</v>
      </c>
      <c r="B143" s="28" t="s">
        <v>10</v>
      </c>
      <c r="C143" s="29">
        <f t="shared" si="2"/>
        <v>2</v>
      </c>
    </row>
    <row r="144" spans="1:3" x14ac:dyDescent="0.25">
      <c r="A144" s="68">
        <v>44339</v>
      </c>
      <c r="B144" s="28" t="s">
        <v>10</v>
      </c>
      <c r="C144" s="29">
        <f t="shared" si="2"/>
        <v>2</v>
      </c>
    </row>
    <row r="145" spans="1:3" x14ac:dyDescent="0.25">
      <c r="A145" s="68">
        <v>44340</v>
      </c>
      <c r="B145" s="28" t="s">
        <v>10</v>
      </c>
      <c r="C145" s="29">
        <f t="shared" ref="C145:C208" si="3">IFERROR(INDEX(Id_Categorias, MATCH(B145,Categorias,0)),"Sin Cierre")</f>
        <v>2</v>
      </c>
    </row>
    <row r="146" spans="1:3" x14ac:dyDescent="0.25">
      <c r="A146" s="68">
        <v>44341</v>
      </c>
      <c r="B146" s="28" t="s">
        <v>10</v>
      </c>
      <c r="C146" s="29">
        <f t="shared" si="3"/>
        <v>2</v>
      </c>
    </row>
    <row r="147" spans="1:3" x14ac:dyDescent="0.25">
      <c r="A147" s="68">
        <v>44342</v>
      </c>
      <c r="B147" s="28" t="s">
        <v>10</v>
      </c>
      <c r="C147" s="29">
        <f t="shared" si="3"/>
        <v>2</v>
      </c>
    </row>
    <row r="148" spans="1:3" x14ac:dyDescent="0.25">
      <c r="A148" s="68">
        <v>44343</v>
      </c>
      <c r="B148" s="28" t="s">
        <v>10</v>
      </c>
      <c r="C148" s="29">
        <f t="shared" si="3"/>
        <v>2</v>
      </c>
    </row>
    <row r="149" spans="1:3" x14ac:dyDescent="0.25">
      <c r="A149" s="68">
        <v>44344</v>
      </c>
      <c r="B149" s="28" t="s">
        <v>10</v>
      </c>
      <c r="C149" s="29">
        <f t="shared" si="3"/>
        <v>2</v>
      </c>
    </row>
    <row r="150" spans="1:3" x14ac:dyDescent="0.25">
      <c r="A150" s="68">
        <v>44345</v>
      </c>
      <c r="B150" s="28" t="s">
        <v>10</v>
      </c>
      <c r="C150" s="29">
        <f t="shared" si="3"/>
        <v>2</v>
      </c>
    </row>
    <row r="151" spans="1:3" x14ac:dyDescent="0.25">
      <c r="A151" s="68">
        <v>44346</v>
      </c>
      <c r="B151" s="28" t="s">
        <v>10</v>
      </c>
      <c r="C151" s="29">
        <f t="shared" si="3"/>
        <v>2</v>
      </c>
    </row>
    <row r="152" spans="1:3" x14ac:dyDescent="0.25">
      <c r="A152" s="68">
        <v>44347</v>
      </c>
      <c r="B152" s="28" t="s">
        <v>10</v>
      </c>
      <c r="C152" s="29">
        <f t="shared" si="3"/>
        <v>2</v>
      </c>
    </row>
    <row r="153" spans="1:3" x14ac:dyDescent="0.25">
      <c r="A153" s="68">
        <v>44348</v>
      </c>
      <c r="B153" s="28" t="s">
        <v>10</v>
      </c>
      <c r="C153" s="29">
        <f t="shared" si="3"/>
        <v>2</v>
      </c>
    </row>
    <row r="154" spans="1:3" x14ac:dyDescent="0.25">
      <c r="A154" s="68">
        <v>44349</v>
      </c>
      <c r="B154" s="28" t="s">
        <v>10</v>
      </c>
      <c r="C154" s="29">
        <f t="shared" si="3"/>
        <v>2</v>
      </c>
    </row>
    <row r="155" spans="1:3" x14ac:dyDescent="0.25">
      <c r="A155" s="68">
        <v>44350</v>
      </c>
      <c r="B155" s="28" t="s">
        <v>10</v>
      </c>
      <c r="C155" s="29">
        <f t="shared" si="3"/>
        <v>2</v>
      </c>
    </row>
    <row r="156" spans="1:3" x14ac:dyDescent="0.25">
      <c r="A156" s="68">
        <v>44351</v>
      </c>
      <c r="B156" s="28" t="s">
        <v>10</v>
      </c>
      <c r="C156" s="29">
        <f t="shared" si="3"/>
        <v>2</v>
      </c>
    </row>
    <row r="157" spans="1:3" x14ac:dyDescent="0.25">
      <c r="A157" s="68">
        <v>44352</v>
      </c>
      <c r="B157" s="28" t="s">
        <v>10</v>
      </c>
      <c r="C157" s="29">
        <f t="shared" si="3"/>
        <v>2</v>
      </c>
    </row>
    <row r="158" spans="1:3" x14ac:dyDescent="0.25">
      <c r="A158" s="68">
        <v>44353</v>
      </c>
      <c r="B158" s="28" t="s">
        <v>10</v>
      </c>
      <c r="C158" s="29">
        <f t="shared" si="3"/>
        <v>2</v>
      </c>
    </row>
    <row r="159" spans="1:3" x14ac:dyDescent="0.25">
      <c r="A159" s="68">
        <v>44354</v>
      </c>
      <c r="B159" s="28" t="s">
        <v>10</v>
      </c>
      <c r="C159" s="29">
        <f t="shared" si="3"/>
        <v>2</v>
      </c>
    </row>
    <row r="160" spans="1:3" x14ac:dyDescent="0.25">
      <c r="A160" s="68">
        <v>44355</v>
      </c>
      <c r="B160" s="28" t="s">
        <v>10</v>
      </c>
      <c r="C160" s="29">
        <f t="shared" si="3"/>
        <v>2</v>
      </c>
    </row>
    <row r="161" spans="1:3" x14ac:dyDescent="0.25">
      <c r="A161" s="68">
        <v>44356</v>
      </c>
      <c r="B161" s="28" t="s">
        <v>10</v>
      </c>
      <c r="C161" s="29">
        <f t="shared" si="3"/>
        <v>2</v>
      </c>
    </row>
    <row r="162" spans="1:3" x14ac:dyDescent="0.25">
      <c r="A162" s="68">
        <v>44357</v>
      </c>
      <c r="B162" s="28" t="s">
        <v>10</v>
      </c>
      <c r="C162" s="29">
        <f t="shared" si="3"/>
        <v>2</v>
      </c>
    </row>
    <row r="163" spans="1:3" x14ac:dyDescent="0.25">
      <c r="A163" s="68">
        <v>44358</v>
      </c>
      <c r="B163" s="28" t="s">
        <v>10</v>
      </c>
      <c r="C163" s="29">
        <f t="shared" si="3"/>
        <v>2</v>
      </c>
    </row>
    <row r="164" spans="1:3" x14ac:dyDescent="0.25">
      <c r="A164" s="68">
        <v>44359</v>
      </c>
      <c r="B164" s="28" t="s">
        <v>10</v>
      </c>
      <c r="C164" s="29">
        <f t="shared" si="3"/>
        <v>2</v>
      </c>
    </row>
    <row r="165" spans="1:3" x14ac:dyDescent="0.25">
      <c r="A165" s="68">
        <v>44360</v>
      </c>
      <c r="B165" s="28" t="s">
        <v>10</v>
      </c>
      <c r="C165" s="29">
        <f t="shared" si="3"/>
        <v>2</v>
      </c>
    </row>
    <row r="166" spans="1:3" x14ac:dyDescent="0.25">
      <c r="A166" s="68">
        <v>44361</v>
      </c>
      <c r="B166" s="28" t="s">
        <v>10</v>
      </c>
      <c r="C166" s="29">
        <f t="shared" si="3"/>
        <v>2</v>
      </c>
    </row>
    <row r="167" spans="1:3" x14ac:dyDescent="0.25">
      <c r="A167" s="68">
        <v>44362</v>
      </c>
      <c r="B167" s="28" t="s">
        <v>10</v>
      </c>
      <c r="C167" s="29">
        <f t="shared" si="3"/>
        <v>2</v>
      </c>
    </row>
    <row r="168" spans="1:3" x14ac:dyDescent="0.25">
      <c r="A168" s="68">
        <v>44363</v>
      </c>
      <c r="B168" s="28" t="s">
        <v>10</v>
      </c>
      <c r="C168" s="29">
        <f t="shared" si="3"/>
        <v>2</v>
      </c>
    </row>
    <row r="169" spans="1:3" x14ac:dyDescent="0.25">
      <c r="A169" s="68">
        <v>44364</v>
      </c>
      <c r="B169" s="28" t="s">
        <v>10</v>
      </c>
      <c r="C169" s="29">
        <f t="shared" si="3"/>
        <v>2</v>
      </c>
    </row>
    <row r="170" spans="1:3" x14ac:dyDescent="0.25">
      <c r="A170" s="68">
        <v>44365</v>
      </c>
      <c r="B170" s="28" t="s">
        <v>10</v>
      </c>
      <c r="C170" s="29">
        <f t="shared" si="3"/>
        <v>2</v>
      </c>
    </row>
    <row r="171" spans="1:3" x14ac:dyDescent="0.25">
      <c r="A171" s="68">
        <v>44366</v>
      </c>
      <c r="B171" s="28" t="s">
        <v>10</v>
      </c>
      <c r="C171" s="29">
        <f t="shared" si="3"/>
        <v>2</v>
      </c>
    </row>
    <row r="172" spans="1:3" x14ac:dyDescent="0.25">
      <c r="A172" s="68">
        <v>44367</v>
      </c>
      <c r="B172" s="28" t="s">
        <v>10</v>
      </c>
      <c r="C172" s="29">
        <f t="shared" si="3"/>
        <v>2</v>
      </c>
    </row>
    <row r="173" spans="1:3" x14ac:dyDescent="0.25">
      <c r="A173" s="68">
        <v>44368</v>
      </c>
      <c r="B173" s="28" t="s">
        <v>10</v>
      </c>
      <c r="C173" s="29">
        <f t="shared" si="3"/>
        <v>2</v>
      </c>
    </row>
    <row r="174" spans="1:3" x14ac:dyDescent="0.25">
      <c r="A174" s="68">
        <v>44369</v>
      </c>
      <c r="B174" s="28" t="s">
        <v>10</v>
      </c>
      <c r="C174" s="29">
        <f t="shared" si="3"/>
        <v>2</v>
      </c>
    </row>
    <row r="175" spans="1:3" x14ac:dyDescent="0.25">
      <c r="A175" s="68">
        <v>44370</v>
      </c>
      <c r="B175" s="28" t="s">
        <v>10</v>
      </c>
      <c r="C175" s="29">
        <f t="shared" si="3"/>
        <v>2</v>
      </c>
    </row>
    <row r="176" spans="1:3" x14ac:dyDescent="0.25">
      <c r="A176" s="68">
        <v>44371</v>
      </c>
      <c r="B176" s="28" t="s">
        <v>10</v>
      </c>
      <c r="C176" s="29">
        <f t="shared" si="3"/>
        <v>2</v>
      </c>
    </row>
    <row r="177" spans="1:3" x14ac:dyDescent="0.25">
      <c r="A177" s="68">
        <v>44372</v>
      </c>
      <c r="B177" s="28" t="s">
        <v>10</v>
      </c>
      <c r="C177" s="29">
        <f t="shared" si="3"/>
        <v>2</v>
      </c>
    </row>
    <row r="178" spans="1:3" x14ac:dyDescent="0.25">
      <c r="A178" s="68">
        <v>44373</v>
      </c>
      <c r="B178" s="28" t="s">
        <v>10</v>
      </c>
      <c r="C178" s="29">
        <f t="shared" si="3"/>
        <v>2</v>
      </c>
    </row>
    <row r="179" spans="1:3" x14ac:dyDescent="0.25">
      <c r="A179" s="68">
        <v>44374</v>
      </c>
      <c r="B179" s="28" t="s">
        <v>10</v>
      </c>
      <c r="C179" s="29">
        <f t="shared" si="3"/>
        <v>2</v>
      </c>
    </row>
    <row r="180" spans="1:3" x14ac:dyDescent="0.25">
      <c r="A180" s="68">
        <v>44375</v>
      </c>
      <c r="B180" s="28" t="s">
        <v>10</v>
      </c>
      <c r="C180" s="29">
        <f t="shared" si="3"/>
        <v>2</v>
      </c>
    </row>
    <row r="181" spans="1:3" x14ac:dyDescent="0.25">
      <c r="A181" s="68">
        <v>44376</v>
      </c>
      <c r="B181" s="28" t="s">
        <v>10</v>
      </c>
      <c r="C181" s="29">
        <f t="shared" si="3"/>
        <v>2</v>
      </c>
    </row>
    <row r="182" spans="1:3" x14ac:dyDescent="0.25">
      <c r="A182" s="68">
        <v>44377</v>
      </c>
      <c r="B182" s="28" t="s">
        <v>10</v>
      </c>
      <c r="C182" s="29">
        <f t="shared" si="3"/>
        <v>2</v>
      </c>
    </row>
    <row r="183" spans="1:3" x14ac:dyDescent="0.25">
      <c r="A183" s="68">
        <v>44378</v>
      </c>
      <c r="B183" s="28" t="s">
        <v>10</v>
      </c>
      <c r="C183" s="29">
        <f t="shared" si="3"/>
        <v>2</v>
      </c>
    </row>
    <row r="184" spans="1:3" x14ac:dyDescent="0.25">
      <c r="A184" s="68">
        <v>44379</v>
      </c>
      <c r="B184" s="28" t="s">
        <v>10</v>
      </c>
      <c r="C184" s="29">
        <f t="shared" si="3"/>
        <v>2</v>
      </c>
    </row>
    <row r="185" spans="1:3" x14ac:dyDescent="0.25">
      <c r="A185" s="68">
        <v>44380</v>
      </c>
      <c r="B185" s="28" t="s">
        <v>10</v>
      </c>
      <c r="C185" s="29">
        <f t="shared" si="3"/>
        <v>2</v>
      </c>
    </row>
    <row r="186" spans="1:3" x14ac:dyDescent="0.25">
      <c r="A186" s="68">
        <v>44381</v>
      </c>
      <c r="B186" s="28" t="s">
        <v>10</v>
      </c>
      <c r="C186" s="29">
        <f t="shared" si="3"/>
        <v>2</v>
      </c>
    </row>
    <row r="187" spans="1:3" x14ac:dyDescent="0.25">
      <c r="A187" s="68">
        <v>44382</v>
      </c>
      <c r="B187" s="28" t="s">
        <v>10</v>
      </c>
      <c r="C187" s="29">
        <f t="shared" si="3"/>
        <v>2</v>
      </c>
    </row>
    <row r="188" spans="1:3" x14ac:dyDescent="0.25">
      <c r="A188" s="68">
        <v>44383</v>
      </c>
      <c r="B188" s="28" t="s">
        <v>10</v>
      </c>
      <c r="C188" s="29">
        <f t="shared" si="3"/>
        <v>2</v>
      </c>
    </row>
    <row r="189" spans="1:3" x14ac:dyDescent="0.25">
      <c r="A189" s="68">
        <v>44384</v>
      </c>
      <c r="B189" s="28" t="s">
        <v>10</v>
      </c>
      <c r="C189" s="29">
        <f t="shared" si="3"/>
        <v>2</v>
      </c>
    </row>
    <row r="190" spans="1:3" x14ac:dyDescent="0.25">
      <c r="A190" s="68">
        <v>44385</v>
      </c>
      <c r="B190" s="28" t="s">
        <v>10</v>
      </c>
      <c r="C190" s="29">
        <f t="shared" si="3"/>
        <v>2</v>
      </c>
    </row>
    <row r="191" spans="1:3" x14ac:dyDescent="0.25">
      <c r="A191" s="68">
        <v>44386</v>
      </c>
      <c r="B191" s="28" t="s">
        <v>10</v>
      </c>
      <c r="C191" s="29">
        <f t="shared" si="3"/>
        <v>2</v>
      </c>
    </row>
    <row r="192" spans="1:3" x14ac:dyDescent="0.25">
      <c r="A192" s="68">
        <v>44387</v>
      </c>
      <c r="B192" s="28" t="s">
        <v>10</v>
      </c>
      <c r="C192" s="29">
        <f t="shared" si="3"/>
        <v>2</v>
      </c>
    </row>
    <row r="193" spans="1:3" x14ac:dyDescent="0.25">
      <c r="A193" s="68">
        <v>44388</v>
      </c>
      <c r="B193" s="28" t="s">
        <v>10</v>
      </c>
      <c r="C193" s="29">
        <f t="shared" si="3"/>
        <v>2</v>
      </c>
    </row>
    <row r="194" spans="1:3" x14ac:dyDescent="0.25">
      <c r="A194" s="68">
        <v>44389</v>
      </c>
      <c r="B194" s="28" t="s">
        <v>10</v>
      </c>
      <c r="C194" s="29">
        <f t="shared" si="3"/>
        <v>2</v>
      </c>
    </row>
    <row r="195" spans="1:3" x14ac:dyDescent="0.25">
      <c r="A195" s="68">
        <v>44390</v>
      </c>
      <c r="B195" s="28" t="s">
        <v>10</v>
      </c>
      <c r="C195" s="29">
        <f t="shared" si="3"/>
        <v>2</v>
      </c>
    </row>
    <row r="196" spans="1:3" x14ac:dyDescent="0.25">
      <c r="A196" s="68">
        <v>44391</v>
      </c>
      <c r="B196" s="28" t="s">
        <v>10</v>
      </c>
      <c r="C196" s="29">
        <f t="shared" si="3"/>
        <v>2</v>
      </c>
    </row>
    <row r="197" spans="1:3" x14ac:dyDescent="0.25">
      <c r="A197" s="68">
        <v>44392</v>
      </c>
      <c r="B197" s="28" t="s">
        <v>10</v>
      </c>
      <c r="C197" s="29">
        <f t="shared" si="3"/>
        <v>2</v>
      </c>
    </row>
    <row r="198" spans="1:3" x14ac:dyDescent="0.25">
      <c r="A198" s="68">
        <v>44393</v>
      </c>
      <c r="B198" s="28" t="s">
        <v>10</v>
      </c>
      <c r="C198" s="29">
        <f t="shared" si="3"/>
        <v>2</v>
      </c>
    </row>
    <row r="199" spans="1:3" x14ac:dyDescent="0.25">
      <c r="A199" s="68">
        <v>44394</v>
      </c>
      <c r="B199" s="28" t="s">
        <v>10</v>
      </c>
      <c r="C199" s="29">
        <f t="shared" si="3"/>
        <v>2</v>
      </c>
    </row>
    <row r="200" spans="1:3" x14ac:dyDescent="0.25">
      <c r="A200" s="68">
        <v>44395</v>
      </c>
      <c r="B200" s="28" t="s">
        <v>10</v>
      </c>
      <c r="C200" s="29">
        <f t="shared" si="3"/>
        <v>2</v>
      </c>
    </row>
    <row r="201" spans="1:3" x14ac:dyDescent="0.25">
      <c r="A201" s="68">
        <v>44396</v>
      </c>
      <c r="B201" s="28" t="s">
        <v>10</v>
      </c>
      <c r="C201" s="29">
        <f t="shared" si="3"/>
        <v>2</v>
      </c>
    </row>
    <row r="202" spans="1:3" x14ac:dyDescent="0.25">
      <c r="A202" s="68">
        <v>44397</v>
      </c>
      <c r="B202" s="28" t="s">
        <v>10</v>
      </c>
      <c r="C202" s="29">
        <f t="shared" si="3"/>
        <v>2</v>
      </c>
    </row>
    <row r="203" spans="1:3" x14ac:dyDescent="0.25">
      <c r="A203" s="68">
        <v>44398</v>
      </c>
      <c r="B203" s="28" t="s">
        <v>10</v>
      </c>
      <c r="C203" s="29">
        <f t="shared" si="3"/>
        <v>2</v>
      </c>
    </row>
    <row r="204" spans="1:3" x14ac:dyDescent="0.25">
      <c r="A204" s="68">
        <v>44399</v>
      </c>
      <c r="B204" s="28" t="s">
        <v>10</v>
      </c>
      <c r="C204" s="29">
        <f t="shared" si="3"/>
        <v>2</v>
      </c>
    </row>
    <row r="205" spans="1:3" x14ac:dyDescent="0.25">
      <c r="A205" s="68">
        <v>44400</v>
      </c>
      <c r="B205" s="28" t="s">
        <v>10</v>
      </c>
      <c r="C205" s="29">
        <f t="shared" si="3"/>
        <v>2</v>
      </c>
    </row>
    <row r="206" spans="1:3" x14ac:dyDescent="0.25">
      <c r="A206" s="68">
        <v>44401</v>
      </c>
      <c r="B206" s="28" t="s">
        <v>10</v>
      </c>
      <c r="C206" s="29">
        <f t="shared" si="3"/>
        <v>2</v>
      </c>
    </row>
    <row r="207" spans="1:3" x14ac:dyDescent="0.25">
      <c r="A207" s="68">
        <v>44402</v>
      </c>
      <c r="B207" s="28" t="s">
        <v>10</v>
      </c>
      <c r="C207" s="29">
        <f t="shared" si="3"/>
        <v>2</v>
      </c>
    </row>
    <row r="208" spans="1:3" x14ac:dyDescent="0.25">
      <c r="A208" s="68">
        <v>44403</v>
      </c>
      <c r="B208" s="28" t="s">
        <v>10</v>
      </c>
      <c r="C208" s="29">
        <f t="shared" si="3"/>
        <v>2</v>
      </c>
    </row>
    <row r="209" spans="1:3" x14ac:dyDescent="0.25">
      <c r="A209" s="68">
        <v>44404</v>
      </c>
      <c r="B209" s="28" t="s">
        <v>10</v>
      </c>
      <c r="C209" s="29">
        <f t="shared" ref="C209:C272" si="4">IFERROR(INDEX(Id_Categorias, MATCH(B209,Categorias,0)),"Sin Cierre")</f>
        <v>2</v>
      </c>
    </row>
    <row r="210" spans="1:3" x14ac:dyDescent="0.25">
      <c r="A210" s="68">
        <v>44405</v>
      </c>
      <c r="B210" s="28" t="s">
        <v>10</v>
      </c>
      <c r="C210" s="29">
        <f t="shared" si="4"/>
        <v>2</v>
      </c>
    </row>
    <row r="211" spans="1:3" x14ac:dyDescent="0.25">
      <c r="A211" s="68">
        <v>44406</v>
      </c>
      <c r="B211" s="28" t="s">
        <v>10</v>
      </c>
      <c r="C211" s="29">
        <f t="shared" si="4"/>
        <v>2</v>
      </c>
    </row>
    <row r="212" spans="1:3" x14ac:dyDescent="0.25">
      <c r="A212" s="68">
        <v>44407</v>
      </c>
      <c r="B212" s="28" t="s">
        <v>10</v>
      </c>
      <c r="C212" s="29">
        <f t="shared" si="4"/>
        <v>2</v>
      </c>
    </row>
    <row r="213" spans="1:3" x14ac:dyDescent="0.25">
      <c r="A213" s="68">
        <v>44408</v>
      </c>
      <c r="B213" s="28" t="s">
        <v>10</v>
      </c>
      <c r="C213" s="29">
        <f t="shared" si="4"/>
        <v>2</v>
      </c>
    </row>
    <row r="214" spans="1:3" x14ac:dyDescent="0.25">
      <c r="A214" s="68">
        <v>44409</v>
      </c>
      <c r="B214" s="28" t="s">
        <v>10</v>
      </c>
      <c r="C214" s="29">
        <f t="shared" si="4"/>
        <v>2</v>
      </c>
    </row>
    <row r="215" spans="1:3" x14ac:dyDescent="0.25">
      <c r="A215" s="68">
        <v>44410</v>
      </c>
      <c r="B215" s="28" t="s">
        <v>10</v>
      </c>
      <c r="C215" s="29">
        <f t="shared" si="4"/>
        <v>2</v>
      </c>
    </row>
    <row r="216" spans="1:3" x14ac:dyDescent="0.25">
      <c r="A216" s="68">
        <v>44411</v>
      </c>
      <c r="B216" s="28" t="s">
        <v>10</v>
      </c>
      <c r="C216" s="29">
        <f t="shared" si="4"/>
        <v>2</v>
      </c>
    </row>
    <row r="217" spans="1:3" x14ac:dyDescent="0.25">
      <c r="A217" s="68">
        <v>44412</v>
      </c>
      <c r="B217" s="28" t="s">
        <v>10</v>
      </c>
      <c r="C217" s="29">
        <f t="shared" si="4"/>
        <v>2</v>
      </c>
    </row>
    <row r="218" spans="1:3" x14ac:dyDescent="0.25">
      <c r="A218" s="68">
        <v>44413</v>
      </c>
      <c r="B218" s="28" t="s">
        <v>10</v>
      </c>
      <c r="C218" s="29">
        <f t="shared" si="4"/>
        <v>2</v>
      </c>
    </row>
    <row r="219" spans="1:3" x14ac:dyDescent="0.25">
      <c r="A219" s="68">
        <v>44414</v>
      </c>
      <c r="B219" s="28" t="s">
        <v>10</v>
      </c>
      <c r="C219" s="29">
        <f t="shared" si="4"/>
        <v>2</v>
      </c>
    </row>
    <row r="220" spans="1:3" x14ac:dyDescent="0.25">
      <c r="A220" s="68">
        <v>44415</v>
      </c>
      <c r="B220" s="28" t="s">
        <v>10</v>
      </c>
      <c r="C220" s="29">
        <f t="shared" si="4"/>
        <v>2</v>
      </c>
    </row>
    <row r="221" spans="1:3" x14ac:dyDescent="0.25">
      <c r="A221" s="68">
        <v>44416</v>
      </c>
      <c r="B221" s="28" t="s">
        <v>10</v>
      </c>
      <c r="C221" s="29">
        <f t="shared" si="4"/>
        <v>2</v>
      </c>
    </row>
    <row r="222" spans="1:3" x14ac:dyDescent="0.25">
      <c r="A222" s="68">
        <v>44417</v>
      </c>
      <c r="B222" s="28" t="s">
        <v>10</v>
      </c>
      <c r="C222" s="29">
        <f t="shared" si="4"/>
        <v>2</v>
      </c>
    </row>
    <row r="223" spans="1:3" x14ac:dyDescent="0.25">
      <c r="A223" s="68">
        <v>44418</v>
      </c>
      <c r="B223" s="28" t="s">
        <v>10</v>
      </c>
      <c r="C223" s="29">
        <f t="shared" si="4"/>
        <v>2</v>
      </c>
    </row>
    <row r="224" spans="1:3" x14ac:dyDescent="0.25">
      <c r="A224" s="68">
        <v>44419</v>
      </c>
      <c r="B224" s="28" t="s">
        <v>10</v>
      </c>
      <c r="C224" s="29">
        <f t="shared" si="4"/>
        <v>2</v>
      </c>
    </row>
    <row r="225" spans="1:3" x14ac:dyDescent="0.25">
      <c r="A225" s="68">
        <v>44420</v>
      </c>
      <c r="B225" s="28" t="s">
        <v>10</v>
      </c>
      <c r="C225" s="29">
        <f t="shared" si="4"/>
        <v>2</v>
      </c>
    </row>
    <row r="226" spans="1:3" x14ac:dyDescent="0.25">
      <c r="A226" s="68">
        <v>44421</v>
      </c>
      <c r="B226" s="28" t="s">
        <v>10</v>
      </c>
      <c r="C226" s="29">
        <f t="shared" si="4"/>
        <v>2</v>
      </c>
    </row>
    <row r="227" spans="1:3" x14ac:dyDescent="0.25">
      <c r="A227" s="68">
        <v>44422</v>
      </c>
      <c r="B227" s="28" t="s">
        <v>10</v>
      </c>
      <c r="C227" s="29">
        <f t="shared" si="4"/>
        <v>2</v>
      </c>
    </row>
    <row r="228" spans="1:3" x14ac:dyDescent="0.25">
      <c r="A228" s="68">
        <v>44423</v>
      </c>
      <c r="B228" s="28" t="s">
        <v>10</v>
      </c>
      <c r="C228" s="29">
        <f t="shared" si="4"/>
        <v>2</v>
      </c>
    </row>
    <row r="229" spans="1:3" x14ac:dyDescent="0.25">
      <c r="A229" s="68">
        <v>44424</v>
      </c>
      <c r="B229" s="28" t="s">
        <v>10</v>
      </c>
      <c r="C229" s="29">
        <f t="shared" si="4"/>
        <v>2</v>
      </c>
    </row>
    <row r="230" spans="1:3" x14ac:dyDescent="0.25">
      <c r="A230" s="68">
        <v>44425</v>
      </c>
      <c r="B230" s="28" t="s">
        <v>10</v>
      </c>
      <c r="C230" s="29">
        <f t="shared" si="4"/>
        <v>2</v>
      </c>
    </row>
    <row r="231" spans="1:3" x14ac:dyDescent="0.25">
      <c r="A231" s="68">
        <v>44426</v>
      </c>
      <c r="B231" s="28" t="s">
        <v>10</v>
      </c>
      <c r="C231" s="29">
        <f t="shared" si="4"/>
        <v>2</v>
      </c>
    </row>
    <row r="232" spans="1:3" x14ac:dyDescent="0.25">
      <c r="A232" s="68">
        <v>44427</v>
      </c>
      <c r="B232" s="28" t="s">
        <v>10</v>
      </c>
      <c r="C232" s="29">
        <f t="shared" si="4"/>
        <v>2</v>
      </c>
    </row>
    <row r="233" spans="1:3" x14ac:dyDescent="0.25">
      <c r="A233" s="68">
        <v>44428</v>
      </c>
      <c r="B233" s="28" t="s">
        <v>10</v>
      </c>
      <c r="C233" s="29">
        <f t="shared" si="4"/>
        <v>2</v>
      </c>
    </row>
    <row r="234" spans="1:3" x14ac:dyDescent="0.25">
      <c r="A234" s="68">
        <v>44429</v>
      </c>
      <c r="B234" s="28" t="s">
        <v>10</v>
      </c>
      <c r="C234" s="29">
        <f t="shared" si="4"/>
        <v>2</v>
      </c>
    </row>
    <row r="235" spans="1:3" x14ac:dyDescent="0.25">
      <c r="A235" s="68">
        <v>44430</v>
      </c>
      <c r="B235" s="28" t="s">
        <v>10</v>
      </c>
      <c r="C235" s="29">
        <f t="shared" si="4"/>
        <v>2</v>
      </c>
    </row>
    <row r="236" spans="1:3" x14ac:dyDescent="0.25">
      <c r="A236" s="68">
        <v>44431</v>
      </c>
      <c r="B236" s="28" t="s">
        <v>10</v>
      </c>
      <c r="C236" s="29">
        <f t="shared" si="4"/>
        <v>2</v>
      </c>
    </row>
    <row r="237" spans="1:3" x14ac:dyDescent="0.25">
      <c r="A237" s="68">
        <v>44432</v>
      </c>
      <c r="B237" s="28" t="s">
        <v>10</v>
      </c>
      <c r="C237" s="29">
        <f t="shared" si="4"/>
        <v>2</v>
      </c>
    </row>
    <row r="238" spans="1:3" x14ac:dyDescent="0.25">
      <c r="A238" s="68">
        <v>44433</v>
      </c>
      <c r="B238" s="28" t="s">
        <v>10</v>
      </c>
      <c r="C238" s="29">
        <f t="shared" si="4"/>
        <v>2</v>
      </c>
    </row>
    <row r="239" spans="1:3" x14ac:dyDescent="0.25">
      <c r="A239" s="68">
        <v>44434</v>
      </c>
      <c r="B239" s="28" t="s">
        <v>10</v>
      </c>
      <c r="C239" s="29">
        <f t="shared" si="4"/>
        <v>2</v>
      </c>
    </row>
    <row r="240" spans="1:3" x14ac:dyDescent="0.25">
      <c r="A240" s="68">
        <v>44435</v>
      </c>
      <c r="B240" s="28" t="s">
        <v>10</v>
      </c>
      <c r="C240" s="29">
        <f t="shared" si="4"/>
        <v>2</v>
      </c>
    </row>
    <row r="241" spans="1:3" x14ac:dyDescent="0.25">
      <c r="A241" s="68">
        <v>44436</v>
      </c>
      <c r="B241" s="28" t="s">
        <v>10</v>
      </c>
      <c r="C241" s="29">
        <f t="shared" si="4"/>
        <v>2</v>
      </c>
    </row>
    <row r="242" spans="1:3" x14ac:dyDescent="0.25">
      <c r="A242" s="68">
        <v>44437</v>
      </c>
      <c r="B242" s="28" t="s">
        <v>10</v>
      </c>
      <c r="C242" s="29">
        <f t="shared" si="4"/>
        <v>2</v>
      </c>
    </row>
    <row r="243" spans="1:3" x14ac:dyDescent="0.25">
      <c r="A243" s="68">
        <v>44438</v>
      </c>
      <c r="B243" s="28" t="s">
        <v>10</v>
      </c>
      <c r="C243" s="29">
        <f t="shared" si="4"/>
        <v>2</v>
      </c>
    </row>
    <row r="244" spans="1:3" x14ac:dyDescent="0.25">
      <c r="A244" s="68">
        <v>44439</v>
      </c>
      <c r="B244" s="28" t="s">
        <v>10</v>
      </c>
      <c r="C244" s="29">
        <f t="shared" si="4"/>
        <v>2</v>
      </c>
    </row>
    <row r="245" spans="1:3" x14ac:dyDescent="0.25">
      <c r="A245" s="68">
        <v>44440</v>
      </c>
      <c r="B245" s="28" t="s">
        <v>10</v>
      </c>
      <c r="C245" s="29">
        <f t="shared" si="4"/>
        <v>2</v>
      </c>
    </row>
    <row r="246" spans="1:3" x14ac:dyDescent="0.25">
      <c r="A246" s="68">
        <v>44441</v>
      </c>
      <c r="B246" s="28" t="s">
        <v>10</v>
      </c>
      <c r="C246" s="29">
        <f t="shared" si="4"/>
        <v>2</v>
      </c>
    </row>
    <row r="247" spans="1:3" x14ac:dyDescent="0.25">
      <c r="A247" s="68">
        <v>44442</v>
      </c>
      <c r="B247" s="28" t="s">
        <v>10</v>
      </c>
      <c r="C247" s="29">
        <f t="shared" si="4"/>
        <v>2</v>
      </c>
    </row>
    <row r="248" spans="1:3" x14ac:dyDescent="0.25">
      <c r="A248" s="68">
        <v>44443</v>
      </c>
      <c r="B248" s="28" t="s">
        <v>10</v>
      </c>
      <c r="C248" s="29">
        <f t="shared" si="4"/>
        <v>2</v>
      </c>
    </row>
    <row r="249" spans="1:3" x14ac:dyDescent="0.25">
      <c r="A249" s="68">
        <v>44444</v>
      </c>
      <c r="B249" s="28" t="s">
        <v>10</v>
      </c>
      <c r="C249" s="29">
        <f t="shared" si="4"/>
        <v>2</v>
      </c>
    </row>
    <row r="250" spans="1:3" x14ac:dyDescent="0.25">
      <c r="A250" s="68">
        <v>44445</v>
      </c>
      <c r="B250" s="28" t="s">
        <v>10</v>
      </c>
      <c r="C250" s="29">
        <f t="shared" si="4"/>
        <v>2</v>
      </c>
    </row>
    <row r="251" spans="1:3" x14ac:dyDescent="0.25">
      <c r="A251" s="68">
        <v>44446</v>
      </c>
      <c r="B251" s="28" t="s">
        <v>10</v>
      </c>
      <c r="C251" s="29">
        <f t="shared" si="4"/>
        <v>2</v>
      </c>
    </row>
    <row r="252" spans="1:3" x14ac:dyDescent="0.25">
      <c r="A252" s="68">
        <v>44447</v>
      </c>
      <c r="B252" s="28" t="s">
        <v>10</v>
      </c>
      <c r="C252" s="29">
        <f t="shared" si="4"/>
        <v>2</v>
      </c>
    </row>
    <row r="253" spans="1:3" x14ac:dyDescent="0.25">
      <c r="A253" s="68">
        <v>44448</v>
      </c>
      <c r="B253" s="28" t="s">
        <v>10</v>
      </c>
      <c r="C253" s="29">
        <f t="shared" si="4"/>
        <v>2</v>
      </c>
    </row>
    <row r="254" spans="1:3" x14ac:dyDescent="0.25">
      <c r="A254" s="68">
        <v>44449</v>
      </c>
      <c r="B254" s="28" t="s">
        <v>10</v>
      </c>
      <c r="C254" s="29">
        <f t="shared" si="4"/>
        <v>2</v>
      </c>
    </row>
    <row r="255" spans="1:3" x14ac:dyDescent="0.25">
      <c r="A255" s="68">
        <v>44450</v>
      </c>
      <c r="B255" s="28" t="s">
        <v>10</v>
      </c>
      <c r="C255" s="29">
        <f t="shared" si="4"/>
        <v>2</v>
      </c>
    </row>
    <row r="256" spans="1:3" x14ac:dyDescent="0.25">
      <c r="A256" s="68">
        <v>44451</v>
      </c>
      <c r="B256" s="28" t="s">
        <v>10</v>
      </c>
      <c r="C256" s="29">
        <f t="shared" si="4"/>
        <v>2</v>
      </c>
    </row>
    <row r="257" spans="1:3" x14ac:dyDescent="0.25">
      <c r="A257" s="68">
        <v>44452</v>
      </c>
      <c r="B257" s="28" t="s">
        <v>10</v>
      </c>
      <c r="C257" s="29">
        <f t="shared" si="4"/>
        <v>2</v>
      </c>
    </row>
    <row r="258" spans="1:3" x14ac:dyDescent="0.25">
      <c r="A258" s="68">
        <v>44453</v>
      </c>
      <c r="B258" s="28" t="s">
        <v>10</v>
      </c>
      <c r="C258" s="29">
        <f t="shared" si="4"/>
        <v>2</v>
      </c>
    </row>
    <row r="259" spans="1:3" x14ac:dyDescent="0.25">
      <c r="A259" s="68">
        <v>44454</v>
      </c>
      <c r="B259" s="28" t="s">
        <v>10</v>
      </c>
      <c r="C259" s="29">
        <f t="shared" si="4"/>
        <v>2</v>
      </c>
    </row>
    <row r="260" spans="1:3" x14ac:dyDescent="0.25">
      <c r="A260" s="68">
        <v>44455</v>
      </c>
      <c r="B260" s="28" t="s">
        <v>10</v>
      </c>
      <c r="C260" s="29">
        <f t="shared" si="4"/>
        <v>2</v>
      </c>
    </row>
    <row r="261" spans="1:3" x14ac:dyDescent="0.25">
      <c r="A261" s="68">
        <v>44456</v>
      </c>
      <c r="B261" s="28" t="s">
        <v>10</v>
      </c>
      <c r="C261" s="29">
        <f t="shared" si="4"/>
        <v>2</v>
      </c>
    </row>
    <row r="262" spans="1:3" x14ac:dyDescent="0.25">
      <c r="A262" s="68">
        <v>44457</v>
      </c>
      <c r="B262" s="28" t="s">
        <v>10</v>
      </c>
      <c r="C262" s="29">
        <f t="shared" si="4"/>
        <v>2</v>
      </c>
    </row>
    <row r="263" spans="1:3" x14ac:dyDescent="0.25">
      <c r="A263" s="68">
        <v>44458</v>
      </c>
      <c r="B263" s="28" t="s">
        <v>10</v>
      </c>
      <c r="C263" s="29">
        <f t="shared" si="4"/>
        <v>2</v>
      </c>
    </row>
    <row r="264" spans="1:3" x14ac:dyDescent="0.25">
      <c r="A264" s="68">
        <v>44459</v>
      </c>
      <c r="B264" s="28" t="s">
        <v>10</v>
      </c>
      <c r="C264" s="29">
        <f t="shared" si="4"/>
        <v>2</v>
      </c>
    </row>
    <row r="265" spans="1:3" x14ac:dyDescent="0.25">
      <c r="A265" s="68">
        <v>44460</v>
      </c>
      <c r="B265" s="28" t="s">
        <v>10</v>
      </c>
      <c r="C265" s="29">
        <f t="shared" si="4"/>
        <v>2</v>
      </c>
    </row>
    <row r="266" spans="1:3" x14ac:dyDescent="0.25">
      <c r="A266" s="68">
        <v>44461</v>
      </c>
      <c r="B266" s="28" t="s">
        <v>10</v>
      </c>
      <c r="C266" s="29">
        <f t="shared" si="4"/>
        <v>2</v>
      </c>
    </row>
    <row r="267" spans="1:3" x14ac:dyDescent="0.25">
      <c r="A267" s="68">
        <v>44462</v>
      </c>
      <c r="B267" s="28" t="s">
        <v>10</v>
      </c>
      <c r="C267" s="29">
        <f t="shared" si="4"/>
        <v>2</v>
      </c>
    </row>
    <row r="268" spans="1:3" x14ac:dyDescent="0.25">
      <c r="A268" s="68">
        <v>44463</v>
      </c>
      <c r="B268" s="28" t="s">
        <v>10</v>
      </c>
      <c r="C268" s="29">
        <f t="shared" si="4"/>
        <v>2</v>
      </c>
    </row>
    <row r="269" spans="1:3" x14ac:dyDescent="0.25">
      <c r="A269" s="68">
        <v>44464</v>
      </c>
      <c r="B269" s="28" t="s">
        <v>10</v>
      </c>
      <c r="C269" s="29">
        <f t="shared" si="4"/>
        <v>2</v>
      </c>
    </row>
    <row r="270" spans="1:3" x14ac:dyDescent="0.25">
      <c r="A270" s="68">
        <v>44465</v>
      </c>
      <c r="B270" s="28" t="s">
        <v>10</v>
      </c>
      <c r="C270" s="29">
        <f t="shared" si="4"/>
        <v>2</v>
      </c>
    </row>
    <row r="271" spans="1:3" x14ac:dyDescent="0.25">
      <c r="A271" s="68">
        <v>44466</v>
      </c>
      <c r="B271" s="28" t="s">
        <v>10</v>
      </c>
      <c r="C271" s="29">
        <f t="shared" si="4"/>
        <v>2</v>
      </c>
    </row>
    <row r="272" spans="1:3" x14ac:dyDescent="0.25">
      <c r="A272" s="68">
        <v>44467</v>
      </c>
      <c r="B272" s="28" t="s">
        <v>10</v>
      </c>
      <c r="C272" s="29">
        <f t="shared" si="4"/>
        <v>2</v>
      </c>
    </row>
    <row r="273" spans="1:3" x14ac:dyDescent="0.25">
      <c r="A273" s="68">
        <v>44468</v>
      </c>
      <c r="B273" s="28" t="s">
        <v>10</v>
      </c>
      <c r="C273" s="29">
        <f t="shared" ref="C273:C336" si="5">IFERROR(INDEX(Id_Categorias, MATCH(B273,Categorias,0)),"Sin Cierre")</f>
        <v>2</v>
      </c>
    </row>
    <row r="274" spans="1:3" x14ac:dyDescent="0.25">
      <c r="A274" s="68">
        <v>44469</v>
      </c>
      <c r="B274" s="28" t="s">
        <v>10</v>
      </c>
      <c r="C274" s="29">
        <f t="shared" si="5"/>
        <v>2</v>
      </c>
    </row>
    <row r="275" spans="1:3" x14ac:dyDescent="0.25">
      <c r="A275" s="68">
        <v>44470</v>
      </c>
      <c r="B275" s="28" t="s">
        <v>10</v>
      </c>
      <c r="C275" s="29">
        <f t="shared" si="5"/>
        <v>2</v>
      </c>
    </row>
    <row r="276" spans="1:3" x14ac:dyDescent="0.25">
      <c r="A276" s="68">
        <v>44471</v>
      </c>
      <c r="B276" s="28" t="s">
        <v>10</v>
      </c>
      <c r="C276" s="29">
        <f t="shared" si="5"/>
        <v>2</v>
      </c>
    </row>
    <row r="277" spans="1:3" x14ac:dyDescent="0.25">
      <c r="A277" s="68">
        <v>44472</v>
      </c>
      <c r="B277" s="28" t="s">
        <v>10</v>
      </c>
      <c r="C277" s="29">
        <f t="shared" si="5"/>
        <v>2</v>
      </c>
    </row>
    <row r="278" spans="1:3" x14ac:dyDescent="0.25">
      <c r="A278" s="68">
        <v>44473</v>
      </c>
      <c r="B278" s="28" t="s">
        <v>10</v>
      </c>
      <c r="C278" s="29">
        <f t="shared" si="5"/>
        <v>2</v>
      </c>
    </row>
    <row r="279" spans="1:3" x14ac:dyDescent="0.25">
      <c r="A279" s="68">
        <v>44474</v>
      </c>
      <c r="B279" s="28" t="s">
        <v>10</v>
      </c>
      <c r="C279" s="29">
        <f t="shared" si="5"/>
        <v>2</v>
      </c>
    </row>
    <row r="280" spans="1:3" x14ac:dyDescent="0.25">
      <c r="A280" s="68">
        <v>44475</v>
      </c>
      <c r="B280" s="28" t="s">
        <v>10</v>
      </c>
      <c r="C280" s="29">
        <f t="shared" si="5"/>
        <v>2</v>
      </c>
    </row>
    <row r="281" spans="1:3" x14ac:dyDescent="0.25">
      <c r="A281" s="68">
        <v>44476</v>
      </c>
      <c r="B281" s="28" t="s">
        <v>10</v>
      </c>
      <c r="C281" s="29">
        <f t="shared" si="5"/>
        <v>2</v>
      </c>
    </row>
    <row r="282" spans="1:3" x14ac:dyDescent="0.25">
      <c r="A282" s="68">
        <v>44477</v>
      </c>
      <c r="B282" s="28" t="s">
        <v>10</v>
      </c>
      <c r="C282" s="29">
        <f t="shared" si="5"/>
        <v>2</v>
      </c>
    </row>
    <row r="283" spans="1:3" x14ac:dyDescent="0.25">
      <c r="A283" s="68">
        <v>44478</v>
      </c>
      <c r="B283" s="28" t="s">
        <v>10</v>
      </c>
      <c r="C283" s="29">
        <f t="shared" si="5"/>
        <v>2</v>
      </c>
    </row>
    <row r="284" spans="1:3" x14ac:dyDescent="0.25">
      <c r="A284" s="68">
        <v>44479</v>
      </c>
      <c r="B284" s="28" t="s">
        <v>10</v>
      </c>
      <c r="C284" s="29">
        <f t="shared" si="5"/>
        <v>2</v>
      </c>
    </row>
    <row r="285" spans="1:3" x14ac:dyDescent="0.25">
      <c r="A285" s="68">
        <v>44480</v>
      </c>
      <c r="B285" s="28" t="s">
        <v>10</v>
      </c>
      <c r="C285" s="29">
        <f t="shared" si="5"/>
        <v>2</v>
      </c>
    </row>
    <row r="286" spans="1:3" x14ac:dyDescent="0.25">
      <c r="A286" s="68">
        <v>44481</v>
      </c>
      <c r="B286" s="28" t="s">
        <v>10</v>
      </c>
      <c r="C286" s="29">
        <f t="shared" si="5"/>
        <v>2</v>
      </c>
    </row>
    <row r="287" spans="1:3" x14ac:dyDescent="0.25">
      <c r="A287" s="68">
        <v>44482</v>
      </c>
      <c r="B287" s="28" t="s">
        <v>10</v>
      </c>
      <c r="C287" s="29">
        <f t="shared" si="5"/>
        <v>2</v>
      </c>
    </row>
    <row r="288" spans="1:3" x14ac:dyDescent="0.25">
      <c r="A288" s="68">
        <v>44483</v>
      </c>
      <c r="B288" s="28" t="s">
        <v>10</v>
      </c>
      <c r="C288" s="29">
        <f t="shared" si="5"/>
        <v>2</v>
      </c>
    </row>
    <row r="289" spans="1:3" x14ac:dyDescent="0.25">
      <c r="A289" s="68">
        <v>44484</v>
      </c>
      <c r="B289" s="28" t="s">
        <v>10</v>
      </c>
      <c r="C289" s="29">
        <f t="shared" si="5"/>
        <v>2</v>
      </c>
    </row>
    <row r="290" spans="1:3" x14ac:dyDescent="0.25">
      <c r="A290" s="68">
        <v>44485</v>
      </c>
      <c r="B290" s="28" t="s">
        <v>10</v>
      </c>
      <c r="C290" s="29">
        <f t="shared" si="5"/>
        <v>2</v>
      </c>
    </row>
    <row r="291" spans="1:3" x14ac:dyDescent="0.25">
      <c r="A291" s="68">
        <v>44486</v>
      </c>
      <c r="B291" s="28" t="s">
        <v>10</v>
      </c>
      <c r="C291" s="29">
        <f t="shared" si="5"/>
        <v>2</v>
      </c>
    </row>
    <row r="292" spans="1:3" x14ac:dyDescent="0.25">
      <c r="A292" s="68">
        <v>44487</v>
      </c>
      <c r="B292" s="28" t="s">
        <v>10</v>
      </c>
      <c r="C292" s="29">
        <f t="shared" si="5"/>
        <v>2</v>
      </c>
    </row>
    <row r="293" spans="1:3" x14ac:dyDescent="0.25">
      <c r="A293" s="68">
        <v>44488</v>
      </c>
      <c r="B293" s="28" t="s">
        <v>10</v>
      </c>
      <c r="C293" s="29">
        <f t="shared" si="5"/>
        <v>2</v>
      </c>
    </row>
    <row r="294" spans="1:3" x14ac:dyDescent="0.25">
      <c r="A294" s="68">
        <v>44489</v>
      </c>
      <c r="B294" s="28" t="s">
        <v>10</v>
      </c>
      <c r="C294" s="29">
        <f t="shared" si="5"/>
        <v>2</v>
      </c>
    </row>
    <row r="295" spans="1:3" x14ac:dyDescent="0.25">
      <c r="A295" s="68">
        <v>44490</v>
      </c>
      <c r="B295" s="28" t="s">
        <v>10</v>
      </c>
      <c r="C295" s="29">
        <f t="shared" si="5"/>
        <v>2</v>
      </c>
    </row>
    <row r="296" spans="1:3" x14ac:dyDescent="0.25">
      <c r="A296" s="68">
        <v>44491</v>
      </c>
      <c r="B296" s="28" t="s">
        <v>10</v>
      </c>
      <c r="C296" s="29">
        <f t="shared" si="5"/>
        <v>2</v>
      </c>
    </row>
    <row r="297" spans="1:3" x14ac:dyDescent="0.25">
      <c r="A297" s="68">
        <v>44492</v>
      </c>
      <c r="B297" s="28" t="s">
        <v>10</v>
      </c>
      <c r="C297" s="29">
        <f t="shared" si="5"/>
        <v>2</v>
      </c>
    </row>
    <row r="298" spans="1:3" x14ac:dyDescent="0.25">
      <c r="A298" s="68">
        <v>44493</v>
      </c>
      <c r="B298" s="28" t="s">
        <v>10</v>
      </c>
      <c r="C298" s="29">
        <f t="shared" si="5"/>
        <v>2</v>
      </c>
    </row>
    <row r="299" spans="1:3" x14ac:dyDescent="0.25">
      <c r="A299" s="68">
        <v>44494</v>
      </c>
      <c r="B299" s="28" t="s">
        <v>10</v>
      </c>
      <c r="C299" s="29">
        <f t="shared" si="5"/>
        <v>2</v>
      </c>
    </row>
    <row r="300" spans="1:3" x14ac:dyDescent="0.25">
      <c r="A300" s="68">
        <v>44495</v>
      </c>
      <c r="B300" s="28" t="s">
        <v>10</v>
      </c>
      <c r="C300" s="29">
        <f t="shared" si="5"/>
        <v>2</v>
      </c>
    </row>
    <row r="301" spans="1:3" x14ac:dyDescent="0.25">
      <c r="A301" s="68">
        <v>44496</v>
      </c>
      <c r="B301" s="28" t="s">
        <v>10</v>
      </c>
      <c r="C301" s="29">
        <f t="shared" si="5"/>
        <v>2</v>
      </c>
    </row>
    <row r="302" spans="1:3" x14ac:dyDescent="0.25">
      <c r="A302" s="68">
        <v>44497</v>
      </c>
      <c r="B302" s="28" t="s">
        <v>10</v>
      </c>
      <c r="C302" s="29">
        <f t="shared" si="5"/>
        <v>2</v>
      </c>
    </row>
    <row r="303" spans="1:3" x14ac:dyDescent="0.25">
      <c r="A303" s="68">
        <v>44498</v>
      </c>
      <c r="B303" s="28" t="s">
        <v>10</v>
      </c>
      <c r="C303" s="29">
        <f t="shared" si="5"/>
        <v>2</v>
      </c>
    </row>
    <row r="304" spans="1:3" x14ac:dyDescent="0.25">
      <c r="A304" s="68">
        <v>44499</v>
      </c>
      <c r="B304" s="28" t="s">
        <v>10</v>
      </c>
      <c r="C304" s="29">
        <f t="shared" si="5"/>
        <v>2</v>
      </c>
    </row>
    <row r="305" spans="1:3" x14ac:dyDescent="0.25">
      <c r="A305" s="68">
        <v>44500</v>
      </c>
      <c r="B305" s="28" t="s">
        <v>10</v>
      </c>
      <c r="C305" s="29">
        <f t="shared" si="5"/>
        <v>2</v>
      </c>
    </row>
    <row r="306" spans="1:3" x14ac:dyDescent="0.25">
      <c r="A306" s="68">
        <v>44501</v>
      </c>
      <c r="B306" s="28" t="s">
        <v>10</v>
      </c>
      <c r="C306" s="29">
        <f t="shared" si="5"/>
        <v>2</v>
      </c>
    </row>
    <row r="307" spans="1:3" x14ac:dyDescent="0.25">
      <c r="A307" s="68">
        <v>44502</v>
      </c>
      <c r="B307" s="28"/>
      <c r="C307" s="29" t="str">
        <f t="shared" si="5"/>
        <v>Sin Cierre</v>
      </c>
    </row>
    <row r="308" spans="1:3" x14ac:dyDescent="0.25">
      <c r="A308" s="68">
        <v>44503</v>
      </c>
      <c r="B308" s="28"/>
      <c r="C308" s="29" t="str">
        <f t="shared" si="5"/>
        <v>Sin Cierre</v>
      </c>
    </row>
    <row r="309" spans="1:3" x14ac:dyDescent="0.25">
      <c r="A309" s="68">
        <v>44504</v>
      </c>
      <c r="B309" s="28"/>
      <c r="C309" s="29" t="str">
        <f t="shared" si="5"/>
        <v>Sin Cierre</v>
      </c>
    </row>
    <row r="310" spans="1:3" x14ac:dyDescent="0.25">
      <c r="A310" s="68">
        <v>44505</v>
      </c>
      <c r="B310" s="28"/>
      <c r="C310" s="29" t="str">
        <f t="shared" si="5"/>
        <v>Sin Cierre</v>
      </c>
    </row>
    <row r="311" spans="1:3" x14ac:dyDescent="0.25">
      <c r="A311" s="68">
        <v>44506</v>
      </c>
      <c r="B311" s="28"/>
      <c r="C311" s="29" t="str">
        <f t="shared" si="5"/>
        <v>Sin Cierre</v>
      </c>
    </row>
    <row r="312" spans="1:3" x14ac:dyDescent="0.25">
      <c r="A312" s="68">
        <v>44507</v>
      </c>
      <c r="B312" s="28"/>
      <c r="C312" s="29" t="str">
        <f t="shared" si="5"/>
        <v>Sin Cierre</v>
      </c>
    </row>
    <row r="313" spans="1:3" x14ac:dyDescent="0.25">
      <c r="A313" s="68">
        <v>44508</v>
      </c>
      <c r="B313" s="28"/>
      <c r="C313" s="29" t="str">
        <f t="shared" si="5"/>
        <v>Sin Cierre</v>
      </c>
    </row>
    <row r="314" spans="1:3" x14ac:dyDescent="0.25">
      <c r="A314" s="68">
        <v>44509</v>
      </c>
      <c r="B314" s="28"/>
      <c r="C314" s="29" t="str">
        <f t="shared" si="5"/>
        <v>Sin Cierre</v>
      </c>
    </row>
    <row r="315" spans="1:3" x14ac:dyDescent="0.25">
      <c r="A315" s="68">
        <v>44510</v>
      </c>
      <c r="B315" s="28"/>
      <c r="C315" s="29" t="str">
        <f t="shared" si="5"/>
        <v>Sin Cierre</v>
      </c>
    </row>
    <row r="316" spans="1:3" x14ac:dyDescent="0.25">
      <c r="A316" s="68">
        <v>44511</v>
      </c>
      <c r="B316" s="28"/>
      <c r="C316" s="29" t="str">
        <f t="shared" si="5"/>
        <v>Sin Cierre</v>
      </c>
    </row>
    <row r="317" spans="1:3" x14ac:dyDescent="0.25">
      <c r="A317" s="68">
        <v>44512</v>
      </c>
      <c r="B317" s="28"/>
      <c r="C317" s="29" t="str">
        <f t="shared" si="5"/>
        <v>Sin Cierre</v>
      </c>
    </row>
    <row r="318" spans="1:3" x14ac:dyDescent="0.25">
      <c r="A318" s="68">
        <v>44513</v>
      </c>
      <c r="B318" s="28"/>
      <c r="C318" s="29" t="str">
        <f t="shared" si="5"/>
        <v>Sin Cierre</v>
      </c>
    </row>
    <row r="319" spans="1:3" x14ac:dyDescent="0.25">
      <c r="A319" s="68">
        <v>44514</v>
      </c>
      <c r="B319" s="28"/>
      <c r="C319" s="29" t="str">
        <f t="shared" si="5"/>
        <v>Sin Cierre</v>
      </c>
    </row>
    <row r="320" spans="1:3" x14ac:dyDescent="0.25">
      <c r="A320" s="68">
        <v>44515</v>
      </c>
      <c r="B320" s="28"/>
      <c r="C320" s="29" t="str">
        <f t="shared" si="5"/>
        <v>Sin Cierre</v>
      </c>
    </row>
    <row r="321" spans="1:3" x14ac:dyDescent="0.25">
      <c r="A321" s="68">
        <v>44516</v>
      </c>
      <c r="B321" s="28"/>
      <c r="C321" s="29" t="str">
        <f t="shared" si="5"/>
        <v>Sin Cierre</v>
      </c>
    </row>
    <row r="322" spans="1:3" x14ac:dyDescent="0.25">
      <c r="A322" s="68">
        <v>44517</v>
      </c>
      <c r="B322" s="28"/>
      <c r="C322" s="29" t="str">
        <f t="shared" si="5"/>
        <v>Sin Cierre</v>
      </c>
    </row>
    <row r="323" spans="1:3" x14ac:dyDescent="0.25">
      <c r="A323" s="68">
        <v>44518</v>
      </c>
      <c r="B323" s="28"/>
      <c r="C323" s="29" t="str">
        <f t="shared" si="5"/>
        <v>Sin Cierre</v>
      </c>
    </row>
    <row r="324" spans="1:3" x14ac:dyDescent="0.25">
      <c r="A324" s="68">
        <v>44519</v>
      </c>
      <c r="B324" s="28"/>
      <c r="C324" s="29" t="str">
        <f t="shared" si="5"/>
        <v>Sin Cierre</v>
      </c>
    </row>
    <row r="325" spans="1:3" x14ac:dyDescent="0.25">
      <c r="A325" s="68">
        <v>44520</v>
      </c>
      <c r="B325" s="28"/>
      <c r="C325" s="29" t="str">
        <f t="shared" si="5"/>
        <v>Sin Cierre</v>
      </c>
    </row>
    <row r="326" spans="1:3" x14ac:dyDescent="0.25">
      <c r="A326" s="68">
        <v>44521</v>
      </c>
      <c r="B326" s="28"/>
      <c r="C326" s="29" t="str">
        <f t="shared" si="5"/>
        <v>Sin Cierre</v>
      </c>
    </row>
    <row r="327" spans="1:3" x14ac:dyDescent="0.25">
      <c r="A327" s="68">
        <v>44522</v>
      </c>
      <c r="B327" s="28"/>
      <c r="C327" s="29" t="str">
        <f t="shared" si="5"/>
        <v>Sin Cierre</v>
      </c>
    </row>
    <row r="328" spans="1:3" x14ac:dyDescent="0.25">
      <c r="A328" s="68">
        <v>44523</v>
      </c>
      <c r="B328" s="28"/>
      <c r="C328" s="29" t="str">
        <f t="shared" si="5"/>
        <v>Sin Cierre</v>
      </c>
    </row>
    <row r="329" spans="1:3" x14ac:dyDescent="0.25">
      <c r="A329" s="68">
        <v>44524</v>
      </c>
      <c r="B329" s="28"/>
      <c r="C329" s="29" t="str">
        <f t="shared" si="5"/>
        <v>Sin Cierre</v>
      </c>
    </row>
    <row r="330" spans="1:3" x14ac:dyDescent="0.25">
      <c r="A330" s="68">
        <v>44525</v>
      </c>
      <c r="B330" s="28"/>
      <c r="C330" s="29" t="str">
        <f t="shared" si="5"/>
        <v>Sin Cierre</v>
      </c>
    </row>
    <row r="331" spans="1:3" x14ac:dyDescent="0.25">
      <c r="A331" s="68">
        <v>44526</v>
      </c>
      <c r="B331" s="28"/>
      <c r="C331" s="29" t="str">
        <f t="shared" si="5"/>
        <v>Sin Cierre</v>
      </c>
    </row>
    <row r="332" spans="1:3" x14ac:dyDescent="0.25">
      <c r="A332" s="68">
        <v>44527</v>
      </c>
      <c r="B332" s="28"/>
      <c r="C332" s="29" t="str">
        <f t="shared" si="5"/>
        <v>Sin Cierre</v>
      </c>
    </row>
    <row r="333" spans="1:3" x14ac:dyDescent="0.25">
      <c r="A333" s="68">
        <v>44528</v>
      </c>
      <c r="B333" s="28"/>
      <c r="C333" s="29" t="str">
        <f t="shared" si="5"/>
        <v>Sin Cierre</v>
      </c>
    </row>
    <row r="334" spans="1:3" x14ac:dyDescent="0.25">
      <c r="A334" s="68">
        <v>44529</v>
      </c>
      <c r="B334" s="28"/>
      <c r="C334" s="29" t="str">
        <f t="shared" si="5"/>
        <v>Sin Cierre</v>
      </c>
    </row>
    <row r="335" spans="1:3" x14ac:dyDescent="0.25">
      <c r="A335" s="68">
        <v>44530</v>
      </c>
      <c r="B335" s="28"/>
      <c r="C335" s="29" t="str">
        <f t="shared" si="5"/>
        <v>Sin Cierre</v>
      </c>
    </row>
    <row r="336" spans="1:3" x14ac:dyDescent="0.25">
      <c r="A336" s="68">
        <v>44531</v>
      </c>
      <c r="B336" s="28"/>
      <c r="C336" s="29" t="str">
        <f t="shared" si="5"/>
        <v>Sin Cierre</v>
      </c>
    </row>
    <row r="337" spans="1:3" x14ac:dyDescent="0.25">
      <c r="A337" s="68">
        <v>44532</v>
      </c>
      <c r="B337" s="28"/>
      <c r="C337" s="29" t="str">
        <f t="shared" ref="C337:C366" si="6">IFERROR(INDEX(Id_Categorias, MATCH(B337,Categorias,0)),"Sin Cierre")</f>
        <v>Sin Cierre</v>
      </c>
    </row>
    <row r="338" spans="1:3" x14ac:dyDescent="0.25">
      <c r="A338" s="68">
        <v>44533</v>
      </c>
      <c r="B338" s="28"/>
      <c r="C338" s="29" t="str">
        <f t="shared" si="6"/>
        <v>Sin Cierre</v>
      </c>
    </row>
    <row r="339" spans="1:3" x14ac:dyDescent="0.25">
      <c r="A339" s="68">
        <v>44534</v>
      </c>
      <c r="B339" s="28"/>
      <c r="C339" s="29" t="str">
        <f t="shared" si="6"/>
        <v>Sin Cierre</v>
      </c>
    </row>
    <row r="340" spans="1:3" x14ac:dyDescent="0.25">
      <c r="A340" s="68">
        <v>44535</v>
      </c>
      <c r="B340" s="28"/>
      <c r="C340" s="29" t="str">
        <f t="shared" si="6"/>
        <v>Sin Cierre</v>
      </c>
    </row>
    <row r="341" spans="1:3" x14ac:dyDescent="0.25">
      <c r="A341" s="68">
        <v>44536</v>
      </c>
      <c r="B341" s="28"/>
      <c r="C341" s="29" t="str">
        <f t="shared" si="6"/>
        <v>Sin Cierre</v>
      </c>
    </row>
    <row r="342" spans="1:3" x14ac:dyDescent="0.25">
      <c r="A342" s="68">
        <v>44537</v>
      </c>
      <c r="B342" s="28"/>
      <c r="C342" s="29" t="str">
        <f t="shared" si="6"/>
        <v>Sin Cierre</v>
      </c>
    </row>
    <row r="343" spans="1:3" x14ac:dyDescent="0.25">
      <c r="A343" s="68">
        <v>44538</v>
      </c>
      <c r="B343" s="28"/>
      <c r="C343" s="29" t="str">
        <f t="shared" si="6"/>
        <v>Sin Cierre</v>
      </c>
    </row>
    <row r="344" spans="1:3" x14ac:dyDescent="0.25">
      <c r="A344" s="68">
        <v>44539</v>
      </c>
      <c r="B344" s="28"/>
      <c r="C344" s="29" t="str">
        <f t="shared" si="6"/>
        <v>Sin Cierre</v>
      </c>
    </row>
    <row r="345" spans="1:3" x14ac:dyDescent="0.25">
      <c r="A345" s="68">
        <v>44540</v>
      </c>
      <c r="B345" s="28"/>
      <c r="C345" s="29" t="str">
        <f t="shared" si="6"/>
        <v>Sin Cierre</v>
      </c>
    </row>
    <row r="346" spans="1:3" x14ac:dyDescent="0.25">
      <c r="A346" s="68">
        <v>44541</v>
      </c>
      <c r="B346" s="28"/>
      <c r="C346" s="29" t="str">
        <f t="shared" si="6"/>
        <v>Sin Cierre</v>
      </c>
    </row>
    <row r="347" spans="1:3" x14ac:dyDescent="0.25">
      <c r="A347" s="68">
        <v>44542</v>
      </c>
      <c r="B347" s="28"/>
      <c r="C347" s="29" t="str">
        <f t="shared" si="6"/>
        <v>Sin Cierre</v>
      </c>
    </row>
    <row r="348" spans="1:3" x14ac:dyDescent="0.25">
      <c r="A348" s="68">
        <v>44543</v>
      </c>
      <c r="B348" s="28"/>
      <c r="C348" s="29" t="str">
        <f t="shared" si="6"/>
        <v>Sin Cierre</v>
      </c>
    </row>
    <row r="349" spans="1:3" x14ac:dyDescent="0.25">
      <c r="A349" s="68">
        <v>44544</v>
      </c>
      <c r="B349" s="28"/>
      <c r="C349" s="29" t="str">
        <f t="shared" si="6"/>
        <v>Sin Cierre</v>
      </c>
    </row>
    <row r="350" spans="1:3" x14ac:dyDescent="0.25">
      <c r="A350" s="68">
        <v>44545</v>
      </c>
      <c r="B350" s="28"/>
      <c r="C350" s="29" t="str">
        <f t="shared" si="6"/>
        <v>Sin Cierre</v>
      </c>
    </row>
    <row r="351" spans="1:3" x14ac:dyDescent="0.25">
      <c r="A351" s="68">
        <v>44546</v>
      </c>
      <c r="B351" s="28"/>
      <c r="C351" s="29" t="str">
        <f t="shared" si="6"/>
        <v>Sin Cierre</v>
      </c>
    </row>
    <row r="352" spans="1:3" x14ac:dyDescent="0.25">
      <c r="A352" s="68">
        <v>44547</v>
      </c>
      <c r="B352" s="28"/>
      <c r="C352" s="29" t="str">
        <f t="shared" si="6"/>
        <v>Sin Cierre</v>
      </c>
    </row>
    <row r="353" spans="1:3" x14ac:dyDescent="0.25">
      <c r="A353" s="68">
        <v>44548</v>
      </c>
      <c r="B353" s="28"/>
      <c r="C353" s="29" t="str">
        <f t="shared" si="6"/>
        <v>Sin Cierre</v>
      </c>
    </row>
    <row r="354" spans="1:3" x14ac:dyDescent="0.25">
      <c r="A354" s="68">
        <v>44549</v>
      </c>
      <c r="B354" s="28"/>
      <c r="C354" s="29" t="str">
        <f t="shared" si="6"/>
        <v>Sin Cierre</v>
      </c>
    </row>
    <row r="355" spans="1:3" x14ac:dyDescent="0.25">
      <c r="A355" s="68">
        <v>44550</v>
      </c>
      <c r="B355" s="28"/>
      <c r="C355" s="29" t="str">
        <f t="shared" si="6"/>
        <v>Sin Cierre</v>
      </c>
    </row>
    <row r="356" spans="1:3" x14ac:dyDescent="0.25">
      <c r="A356" s="68">
        <v>44551</v>
      </c>
      <c r="B356" s="28"/>
      <c r="C356" s="29" t="str">
        <f t="shared" si="6"/>
        <v>Sin Cierre</v>
      </c>
    </row>
    <row r="357" spans="1:3" x14ac:dyDescent="0.25">
      <c r="A357" s="68">
        <v>44552</v>
      </c>
      <c r="B357" s="28"/>
      <c r="C357" s="29" t="str">
        <f t="shared" si="6"/>
        <v>Sin Cierre</v>
      </c>
    </row>
    <row r="358" spans="1:3" x14ac:dyDescent="0.25">
      <c r="A358" s="68">
        <v>44553</v>
      </c>
      <c r="B358" s="28"/>
      <c r="C358" s="29" t="str">
        <f t="shared" si="6"/>
        <v>Sin Cierre</v>
      </c>
    </row>
    <row r="359" spans="1:3" x14ac:dyDescent="0.25">
      <c r="A359" s="68">
        <v>44554</v>
      </c>
      <c r="B359" s="28"/>
      <c r="C359" s="29" t="str">
        <f t="shared" si="6"/>
        <v>Sin Cierre</v>
      </c>
    </row>
    <row r="360" spans="1:3" x14ac:dyDescent="0.25">
      <c r="A360" s="68">
        <v>44555</v>
      </c>
      <c r="B360" s="28"/>
      <c r="C360" s="29" t="str">
        <f t="shared" si="6"/>
        <v>Sin Cierre</v>
      </c>
    </row>
    <row r="361" spans="1:3" x14ac:dyDescent="0.25">
      <c r="A361" s="68">
        <v>44556</v>
      </c>
      <c r="B361" s="28"/>
      <c r="C361" s="29" t="str">
        <f t="shared" si="6"/>
        <v>Sin Cierre</v>
      </c>
    </row>
    <row r="362" spans="1:3" x14ac:dyDescent="0.25">
      <c r="A362" s="68">
        <v>44557</v>
      </c>
      <c r="B362" s="28"/>
      <c r="C362" s="29" t="str">
        <f t="shared" si="6"/>
        <v>Sin Cierre</v>
      </c>
    </row>
    <row r="363" spans="1:3" x14ac:dyDescent="0.25">
      <c r="A363" s="68">
        <v>44558</v>
      </c>
      <c r="B363" s="28"/>
      <c r="C363" s="29" t="str">
        <f t="shared" si="6"/>
        <v>Sin Cierre</v>
      </c>
    </row>
    <row r="364" spans="1:3" x14ac:dyDescent="0.25">
      <c r="A364" s="68">
        <v>44559</v>
      </c>
      <c r="B364" s="28"/>
      <c r="C364" s="29" t="str">
        <f t="shared" si="6"/>
        <v>Sin Cierre</v>
      </c>
    </row>
    <row r="365" spans="1:3" x14ac:dyDescent="0.25">
      <c r="A365" s="68">
        <v>44560</v>
      </c>
      <c r="B365" s="28"/>
      <c r="C365" s="29" t="str">
        <f t="shared" si="6"/>
        <v>Sin Cierre</v>
      </c>
    </row>
    <row r="366" spans="1:3" x14ac:dyDescent="0.25">
      <c r="A366" s="68">
        <v>44561</v>
      </c>
      <c r="B366" s="28"/>
      <c r="C366" s="29" t="str">
        <f t="shared" si="6"/>
        <v>Sin Cierre</v>
      </c>
    </row>
    <row r="367" spans="1:3" x14ac:dyDescent="0.25">
      <c r="A367" s="68">
        <v>44562</v>
      </c>
      <c r="B367" s="28"/>
      <c r="C367" s="31"/>
    </row>
  </sheetData>
  <sheetProtection formatCells="0" formatColumns="0" formatRows="0" sort="0" autoFilter="0"/>
  <conditionalFormatting sqref="A2:A367">
    <cfRule type="expression" dxfId="6" priority="1">
      <formula>IFERROR(INDEX(Indice_Categorias, A2-Fecha_Inicio+1),0)=4</formula>
    </cfRule>
    <cfRule type="expression" dxfId="5" priority="2">
      <formula>IFERROR(INDEX(Indice_Categorias, A2-Fecha_Inicio+1),0)=1</formula>
    </cfRule>
    <cfRule type="expression" dxfId="4" priority="3">
      <formula>IFERROR(INDEX(Indice_Categorias, A2-Fecha_Inicio+1),0)=2</formula>
    </cfRule>
    <cfRule type="expression" dxfId="3" priority="10">
      <formula>IFERROR(INDEX(Indice_Categorias, A2-Fecha_Inicio+1),0)=3</formula>
    </cfRule>
    <cfRule type="expression" dxfId="2" priority="11">
      <formula>IFERROR(INDEX(Indice_Categorias, A2-Fecha_Inicio+1),0)=6</formula>
    </cfRule>
    <cfRule type="expression" dxfId="1" priority="13">
      <formula>IFERROR(INDEX(Indice_Categorias, A2-Fecha_Inicio+1),0)=5</formula>
    </cfRule>
  </conditionalFormatting>
  <conditionalFormatting sqref="B2:C367">
    <cfRule type="expression" dxfId="0" priority="9">
      <formula>IFERROR(INDEX(IDCategorias, MATCH(B2,Categorias,0)),0)</formula>
    </cfRule>
  </conditionalFormatting>
  <dataValidations count="1">
    <dataValidation type="list" allowBlank="1" showInputMessage="1" showErrorMessage="1" sqref="C368:C1048576 A368:A1048576 M1:XEW1048576 B2:B1048576">
      <formula1>Categorias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9"/>
  <sheetViews>
    <sheetView topLeftCell="B1" workbookViewId="0">
      <selection activeCell="B3" sqref="B3:B9"/>
    </sheetView>
  </sheetViews>
  <sheetFormatPr baseColWidth="10" defaultRowHeight="15" x14ac:dyDescent="0.25"/>
  <cols>
    <col min="1" max="1" width="2.85546875" style="1" hidden="1" customWidth="1"/>
    <col min="2" max="2" width="37.5703125" style="1" bestFit="1" customWidth="1"/>
    <col min="3" max="3" width="9.140625" style="1" customWidth="1"/>
    <col min="4" max="4" width="2" style="1" hidden="1" customWidth="1"/>
    <col min="5" max="16384" width="11.42578125" style="1"/>
  </cols>
  <sheetData>
    <row r="2" spans="1:4" x14ac:dyDescent="0.25">
      <c r="A2" s="5" t="s">
        <v>11</v>
      </c>
      <c r="B2" s="50" t="s">
        <v>8</v>
      </c>
      <c r="C2" s="51" t="s">
        <v>12</v>
      </c>
      <c r="D2" s="5" t="s">
        <v>13</v>
      </c>
    </row>
    <row r="3" spans="1:4" x14ac:dyDescent="0.25">
      <c r="A3" s="6">
        <v>1</v>
      </c>
      <c r="B3" s="48" t="s">
        <v>9</v>
      </c>
      <c r="C3" s="49"/>
      <c r="D3" s="7"/>
    </row>
    <row r="4" spans="1:4" x14ac:dyDescent="0.25">
      <c r="A4" s="6">
        <v>2</v>
      </c>
      <c r="B4" s="40" t="s">
        <v>10</v>
      </c>
      <c r="C4" s="41"/>
      <c r="D4" s="7"/>
    </row>
    <row r="5" spans="1:4" x14ac:dyDescent="0.25">
      <c r="A5" s="6">
        <v>3</v>
      </c>
      <c r="B5" s="40" t="s">
        <v>14</v>
      </c>
      <c r="C5" s="42"/>
      <c r="D5" s="7"/>
    </row>
    <row r="6" spans="1:4" x14ac:dyDescent="0.25">
      <c r="A6" s="6">
        <v>4</v>
      </c>
      <c r="B6" s="40" t="s">
        <v>15</v>
      </c>
      <c r="C6" s="43"/>
      <c r="D6" s="7"/>
    </row>
    <row r="7" spans="1:4" x14ac:dyDescent="0.25">
      <c r="A7" s="6">
        <v>5</v>
      </c>
      <c r="B7" s="40" t="s">
        <v>16</v>
      </c>
      <c r="C7" s="44"/>
      <c r="D7" s="7"/>
    </row>
    <row r="8" spans="1:4" x14ac:dyDescent="0.25">
      <c r="A8" s="6">
        <v>6</v>
      </c>
      <c r="B8" s="40" t="s">
        <v>17</v>
      </c>
      <c r="C8" s="45"/>
      <c r="D8" s="7"/>
    </row>
    <row r="9" spans="1:4" x14ac:dyDescent="0.25">
      <c r="A9" s="6">
        <v>7</v>
      </c>
      <c r="B9" s="46" t="s">
        <v>18</v>
      </c>
      <c r="C9" s="47"/>
      <c r="D9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Calendario</vt:lpstr>
      <vt:lpstr>Diario</vt:lpstr>
      <vt:lpstr>Configuración Categorías</vt:lpstr>
      <vt:lpstr>Calendario</vt:lpstr>
      <vt:lpstr>Categorias</vt:lpstr>
      <vt:lpstr>Categorias_Comentarios</vt:lpstr>
      <vt:lpstr>DiasCategorias</vt:lpstr>
      <vt:lpstr>Estado</vt:lpstr>
      <vt:lpstr>Fecha_Inicio</vt:lpstr>
      <vt:lpstr>Id_Categorias</vt:lpstr>
      <vt:lpstr>Indice_Categorias</vt:lpstr>
      <vt:lpstr>Rango_Diario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2018-10-31T23:06:40Z</dcterms:created>
  <dcterms:modified xsi:type="dcterms:W3CDTF">2021-02-23T20:55:54Z</dcterms:modified>
</cp:coreProperties>
</file>